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9040" windowHeight="15720" tabRatio="500"/>
  </bookViews>
  <sheets>
    <sheet name="2024" sheetId="1" r:id="rId1"/>
  </sheets>
  <calcPr calcId="125725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2" i="1"/>
  <c r="W311"/>
  <c r="P311"/>
  <c r="M311"/>
  <c r="F311"/>
  <c r="X310"/>
  <c r="W310"/>
  <c r="P310"/>
  <c r="M310"/>
  <c r="F310"/>
  <c r="X309"/>
  <c r="W309"/>
  <c r="P309"/>
  <c r="M309"/>
  <c r="F309"/>
  <c r="X308"/>
  <c r="W308"/>
  <c r="P308"/>
  <c r="M308"/>
  <c r="F308"/>
  <c r="X307"/>
  <c r="W307"/>
  <c r="P307"/>
  <c r="M307"/>
  <c r="F307"/>
  <c r="X306"/>
  <c r="W306"/>
  <c r="P306"/>
  <c r="M306"/>
  <c r="F306"/>
  <c r="X305"/>
  <c r="W305"/>
  <c r="P305"/>
  <c r="M305"/>
  <c r="F305"/>
  <c r="X304"/>
  <c r="W304"/>
  <c r="P304"/>
  <c r="M304"/>
  <c r="F304"/>
  <c r="X303"/>
  <c r="W303"/>
  <c r="P303"/>
  <c r="M303"/>
  <c r="F303"/>
  <c r="X302"/>
  <c r="W302"/>
  <c r="P302"/>
  <c r="M302"/>
  <c r="F302"/>
  <c r="X301"/>
  <c r="W301"/>
  <c r="P301"/>
  <c r="M301"/>
  <c r="F301"/>
  <c r="X300"/>
  <c r="W300"/>
  <c r="P300"/>
  <c r="M300"/>
  <c r="F300"/>
  <c r="X299"/>
  <c r="W299"/>
  <c r="P299"/>
  <c r="M299"/>
  <c r="F299"/>
  <c r="X298"/>
  <c r="W298"/>
  <c r="P298"/>
  <c r="M298"/>
  <c r="F298"/>
  <c r="X297"/>
  <c r="W297"/>
  <c r="P297"/>
  <c r="M297"/>
  <c r="F297"/>
  <c r="X296"/>
  <c r="W296"/>
  <c r="P296"/>
  <c r="M296"/>
  <c r="F296"/>
  <c r="X295"/>
  <c r="W295"/>
  <c r="P295"/>
  <c r="M295"/>
  <c r="F295"/>
  <c r="X294"/>
  <c r="W294"/>
  <c r="P294"/>
  <c r="M294"/>
  <c r="F294"/>
  <c r="X293"/>
  <c r="W293"/>
  <c r="P293"/>
  <c r="M293"/>
  <c r="F293"/>
  <c r="X292"/>
  <c r="W292"/>
  <c r="P292"/>
  <c r="M292"/>
  <c r="F292"/>
  <c r="X291"/>
  <c r="W291"/>
  <c r="P291"/>
  <c r="M291"/>
  <c r="F291"/>
  <c r="X290"/>
  <c r="W290"/>
  <c r="P290"/>
  <c r="M290"/>
  <c r="F290"/>
  <c r="X289"/>
  <c r="W289"/>
  <c r="P289"/>
  <c r="M289"/>
  <c r="F289"/>
  <c r="X288"/>
  <c r="W288"/>
  <c r="P288"/>
  <c r="M288"/>
  <c r="F288"/>
  <c r="X287"/>
  <c r="W287"/>
  <c r="P287"/>
  <c r="M287"/>
  <c r="F287"/>
  <c r="X286"/>
  <c r="W286"/>
  <c r="P286"/>
  <c r="M286"/>
  <c r="F286"/>
  <c r="X285"/>
  <c r="W285"/>
  <c r="P285"/>
  <c r="M285"/>
  <c r="F285"/>
  <c r="X284"/>
  <c r="W284"/>
  <c r="P284"/>
  <c r="M284"/>
  <c r="F284"/>
  <c r="X283"/>
  <c r="W283"/>
  <c r="P283"/>
  <c r="M283"/>
  <c r="F283"/>
  <c r="X282"/>
  <c r="W282"/>
  <c r="P282"/>
  <c r="M282"/>
  <c r="F282"/>
  <c r="X281"/>
  <c r="W281"/>
  <c r="P281"/>
  <c r="M281"/>
  <c r="F281"/>
  <c r="X280"/>
  <c r="W280"/>
  <c r="P280"/>
  <c r="M280"/>
  <c r="F280"/>
  <c r="X279"/>
  <c r="W279"/>
  <c r="P279"/>
  <c r="M279"/>
  <c r="F279"/>
  <c r="X278"/>
  <c r="W278"/>
  <c r="P278"/>
  <c r="M278"/>
  <c r="F278"/>
  <c r="X277"/>
  <c r="W277"/>
  <c r="P277"/>
  <c r="M277"/>
  <c r="F277"/>
  <c r="X276"/>
  <c r="W276"/>
  <c r="P276"/>
  <c r="M276"/>
  <c r="F276"/>
  <c r="X275"/>
  <c r="W275"/>
  <c r="P275"/>
  <c r="M275"/>
  <c r="F275"/>
  <c r="X274"/>
  <c r="W274"/>
  <c r="P274"/>
  <c r="M274"/>
  <c r="F274"/>
  <c r="X273"/>
  <c r="W273"/>
  <c r="P273"/>
  <c r="M273"/>
  <c r="F273"/>
  <c r="X272"/>
  <c r="W272"/>
  <c r="P272"/>
  <c r="M272"/>
  <c r="F272"/>
  <c r="X271"/>
  <c r="W271"/>
  <c r="P271"/>
  <c r="M271"/>
  <c r="F271"/>
  <c r="X270"/>
  <c r="W270"/>
  <c r="P270"/>
  <c r="M270"/>
  <c r="F270"/>
  <c r="X269"/>
  <c r="W269"/>
  <c r="P269"/>
  <c r="M269"/>
  <c r="F269"/>
  <c r="X268"/>
  <c r="W268"/>
  <c r="P268"/>
  <c r="M268"/>
  <c r="F268"/>
  <c r="X267"/>
  <c r="W267"/>
  <c r="P267"/>
  <c r="M267"/>
  <c r="F267"/>
  <c r="X266"/>
  <c r="W266"/>
  <c r="P266"/>
  <c r="M266"/>
  <c r="F266"/>
  <c r="X265"/>
  <c r="W265"/>
  <c r="P265"/>
  <c r="M265"/>
  <c r="F265"/>
  <c r="X264"/>
  <c r="W264"/>
  <c r="P264"/>
  <c r="M264"/>
  <c r="F264"/>
  <c r="X263"/>
  <c r="W263"/>
  <c r="P263"/>
  <c r="M263"/>
  <c r="F263"/>
  <c r="X262"/>
  <c r="W262"/>
  <c r="P262"/>
  <c r="M262"/>
  <c r="F262"/>
  <c r="X261"/>
  <c r="W261"/>
  <c r="P261"/>
  <c r="M261"/>
  <c r="F261"/>
  <c r="X260"/>
  <c r="W260"/>
  <c r="P260"/>
  <c r="M260"/>
  <c r="F260"/>
  <c r="X259"/>
  <c r="W259"/>
  <c r="P259"/>
  <c r="M259"/>
  <c r="F259"/>
  <c r="X258"/>
  <c r="W258"/>
  <c r="P258"/>
  <c r="M258"/>
  <c r="F258"/>
  <c r="X257"/>
  <c r="W257"/>
  <c r="P257"/>
  <c r="M257"/>
  <c r="F257"/>
  <c r="X256"/>
  <c r="W256"/>
  <c r="P256"/>
  <c r="M256"/>
  <c r="F256"/>
  <c r="X255"/>
  <c r="W255"/>
  <c r="P255"/>
  <c r="M255"/>
  <c r="F255"/>
  <c r="X254"/>
  <c r="W254"/>
  <c r="P254"/>
  <c r="M254"/>
  <c r="F254"/>
  <c r="X253"/>
  <c r="W253"/>
  <c r="P253"/>
  <c r="M253"/>
  <c r="F253"/>
  <c r="X252"/>
  <c r="W252"/>
  <c r="P252"/>
  <c r="M252"/>
  <c r="F252"/>
  <c r="X251"/>
  <c r="W251"/>
  <c r="P251"/>
  <c r="M251"/>
  <c r="F251"/>
  <c r="X250"/>
  <c r="W250"/>
  <c r="P250"/>
  <c r="M250"/>
  <c r="F250"/>
  <c r="X249"/>
  <c r="W249"/>
  <c r="P249"/>
  <c r="M249"/>
  <c r="F249"/>
  <c r="X248"/>
  <c r="W248"/>
  <c r="P248"/>
  <c r="M248"/>
  <c r="F248"/>
  <c r="X247"/>
  <c r="W247"/>
  <c r="P247"/>
  <c r="M247"/>
  <c r="F247"/>
  <c r="X246"/>
  <c r="W246"/>
  <c r="P246"/>
  <c r="M246"/>
  <c r="F246"/>
  <c r="X245"/>
  <c r="W245"/>
  <c r="P245"/>
  <c r="M245"/>
  <c r="F245"/>
  <c r="X244"/>
  <c r="W244"/>
  <c r="P244"/>
  <c r="M244"/>
  <c r="F244"/>
  <c r="X243"/>
  <c r="W243"/>
  <c r="P243"/>
  <c r="M243"/>
  <c r="F243"/>
  <c r="X242"/>
  <c r="W242"/>
  <c r="P242"/>
  <c r="M242"/>
  <c r="F242"/>
  <c r="X241"/>
  <c r="W241"/>
  <c r="P241"/>
  <c r="M241"/>
  <c r="F241"/>
  <c r="X240"/>
  <c r="W240"/>
  <c r="P240"/>
  <c r="M240"/>
  <c r="F240"/>
  <c r="X239"/>
  <c r="W239"/>
  <c r="P239"/>
  <c r="M239"/>
  <c r="F239"/>
  <c r="X238"/>
  <c r="W238"/>
  <c r="P238"/>
  <c r="M238"/>
  <c r="F238"/>
  <c r="X237"/>
  <c r="W237"/>
  <c r="P237"/>
  <c r="M237"/>
  <c r="F237"/>
  <c r="X236"/>
  <c r="W236"/>
  <c r="P236"/>
  <c r="M236"/>
  <c r="F236"/>
  <c r="X235"/>
  <c r="W235"/>
  <c r="P235"/>
  <c r="M235"/>
  <c r="F235"/>
  <c r="X234"/>
  <c r="W234"/>
  <c r="P234"/>
  <c r="M234"/>
  <c r="F234"/>
  <c r="X233"/>
  <c r="W233"/>
  <c r="P233"/>
  <c r="M233"/>
  <c r="F233"/>
  <c r="X232"/>
  <c r="W232"/>
  <c r="P232"/>
  <c r="M232"/>
  <c r="F232"/>
  <c r="X231"/>
  <c r="W231"/>
  <c r="P231"/>
  <c r="M231"/>
  <c r="F231"/>
  <c r="X230"/>
  <c r="W230"/>
  <c r="P230"/>
  <c r="M230"/>
  <c r="F230"/>
  <c r="X229"/>
  <c r="W229"/>
  <c r="P229"/>
  <c r="M229"/>
  <c r="F229"/>
  <c r="X228"/>
  <c r="W228"/>
  <c r="P228"/>
  <c r="M228"/>
  <c r="F228"/>
  <c r="X227"/>
  <c r="W227"/>
  <c r="P227"/>
  <c r="M227"/>
  <c r="F227"/>
  <c r="X226"/>
  <c r="W226"/>
  <c r="P226"/>
  <c r="M226"/>
  <c r="F226"/>
  <c r="X225"/>
  <c r="W225"/>
  <c r="P225"/>
  <c r="M225"/>
  <c r="F225"/>
  <c r="X224"/>
  <c r="W224"/>
  <c r="P224"/>
  <c r="M224"/>
  <c r="F224"/>
  <c r="X223"/>
  <c r="W223"/>
  <c r="P223"/>
  <c r="M223"/>
  <c r="F223"/>
  <c r="X222"/>
  <c r="W222"/>
  <c r="P222"/>
  <c r="M222"/>
  <c r="F222"/>
  <c r="X221"/>
  <c r="W221"/>
  <c r="P221"/>
  <c r="M221"/>
  <c r="F221"/>
  <c r="X220"/>
  <c r="W220"/>
  <c r="P220"/>
  <c r="M220"/>
  <c r="F220"/>
  <c r="X219"/>
  <c r="W219"/>
  <c r="P219"/>
  <c r="M219"/>
  <c r="F219"/>
  <c r="X218"/>
  <c r="W218"/>
  <c r="P218"/>
  <c r="M218"/>
  <c r="F218"/>
  <c r="X217"/>
  <c r="W217"/>
  <c r="P217"/>
  <c r="M217"/>
  <c r="F217"/>
  <c r="X216"/>
  <c r="W216"/>
  <c r="P216"/>
  <c r="M216"/>
  <c r="F216"/>
  <c r="X215"/>
  <c r="W215"/>
  <c r="P215"/>
  <c r="M215"/>
  <c r="F215"/>
  <c r="X214"/>
  <c r="W214"/>
  <c r="P214"/>
  <c r="M214"/>
  <c r="F214"/>
  <c r="X213"/>
  <c r="W213"/>
  <c r="P213"/>
  <c r="M213"/>
  <c r="F213"/>
  <c r="X212"/>
  <c r="W212"/>
  <c r="P212"/>
  <c r="M212"/>
  <c r="F212"/>
  <c r="X211"/>
  <c r="W211"/>
  <c r="P211"/>
  <c r="M211"/>
  <c r="F211"/>
  <c r="X210"/>
  <c r="W210"/>
  <c r="P210"/>
  <c r="M210"/>
  <c r="F210"/>
  <c r="X209"/>
  <c r="W209"/>
  <c r="P209"/>
  <c r="M209"/>
  <c r="F209"/>
  <c r="X208"/>
  <c r="W208"/>
  <c r="P208"/>
  <c r="M208"/>
  <c r="F208"/>
  <c r="X207"/>
  <c r="W207"/>
  <c r="P207"/>
  <c r="M207"/>
  <c r="F207"/>
  <c r="X206"/>
  <c r="W206"/>
  <c r="P206"/>
  <c r="M206"/>
  <c r="F206"/>
  <c r="X205"/>
  <c r="W205"/>
  <c r="P205"/>
  <c r="M205"/>
  <c r="F205"/>
  <c r="X204"/>
  <c r="W204"/>
  <c r="P204"/>
  <c r="M204"/>
  <c r="F204"/>
  <c r="X203"/>
  <c r="W203"/>
  <c r="P203"/>
  <c r="M203"/>
  <c r="F203"/>
  <c r="X202"/>
  <c r="W202"/>
  <c r="P202"/>
  <c r="M202"/>
  <c r="F202"/>
  <c r="X201"/>
  <c r="W201"/>
  <c r="P201"/>
  <c r="M201"/>
  <c r="F201"/>
  <c r="X200"/>
  <c r="W200"/>
  <c r="P200"/>
  <c r="M200"/>
  <c r="F200"/>
  <c r="X199"/>
  <c r="W199"/>
  <c r="P199"/>
  <c r="M199"/>
  <c r="F199"/>
  <c r="X198"/>
  <c r="W198"/>
  <c r="P198"/>
  <c r="M198"/>
  <c r="F198"/>
  <c r="X197"/>
  <c r="W197"/>
  <c r="P197"/>
  <c r="M197"/>
  <c r="F197"/>
  <c r="X196"/>
  <c r="W196"/>
  <c r="P196"/>
  <c r="M196"/>
  <c r="F196"/>
  <c r="X195"/>
  <c r="W195"/>
  <c r="P195"/>
  <c r="M195"/>
  <c r="F195"/>
  <c r="X194"/>
  <c r="W194"/>
  <c r="P194"/>
  <c r="M194"/>
  <c r="F194"/>
  <c r="X193"/>
  <c r="W193"/>
  <c r="P193"/>
  <c r="M193"/>
  <c r="F193"/>
  <c r="X192"/>
  <c r="W192"/>
  <c r="P192"/>
  <c r="M192"/>
  <c r="F192"/>
  <c r="X191"/>
  <c r="W191"/>
  <c r="P191"/>
  <c r="M191"/>
  <c r="F191"/>
  <c r="X190"/>
  <c r="W190"/>
  <c r="P190"/>
  <c r="M190"/>
  <c r="F190"/>
  <c r="X189"/>
  <c r="W189"/>
  <c r="P189"/>
  <c r="M189"/>
  <c r="F189"/>
  <c r="X188"/>
  <c r="W188"/>
  <c r="P188"/>
  <c r="M188"/>
  <c r="F188"/>
  <c r="X187"/>
  <c r="W187"/>
  <c r="P187"/>
  <c r="M187"/>
  <c r="F187"/>
  <c r="X186"/>
  <c r="W186"/>
  <c r="P186"/>
  <c r="M186"/>
  <c r="F186"/>
  <c r="X185"/>
  <c r="W185"/>
  <c r="P185"/>
  <c r="M185"/>
  <c r="F185"/>
  <c r="X184"/>
  <c r="W184"/>
  <c r="P184"/>
  <c r="M184"/>
  <c r="F184"/>
  <c r="X183"/>
  <c r="W183"/>
  <c r="P183"/>
  <c r="M183"/>
  <c r="F183"/>
  <c r="X182"/>
  <c r="W182"/>
  <c r="P182"/>
  <c r="M182"/>
  <c r="F182"/>
  <c r="X181"/>
  <c r="W181"/>
  <c r="P181"/>
  <c r="M181"/>
  <c r="F181"/>
  <c r="X180"/>
  <c r="W180"/>
  <c r="P180"/>
  <c r="M180"/>
  <c r="F180"/>
  <c r="X179"/>
  <c r="W179"/>
  <c r="P179"/>
  <c r="M179"/>
  <c r="F179"/>
  <c r="X178"/>
  <c r="W178"/>
  <c r="P178"/>
  <c r="M178"/>
  <c r="F178"/>
  <c r="X177"/>
  <c r="W177"/>
  <c r="P177"/>
  <c r="M177"/>
  <c r="F177"/>
  <c r="X176"/>
  <c r="W176"/>
  <c r="P176"/>
  <c r="M176"/>
  <c r="F176"/>
  <c r="X175"/>
  <c r="W175"/>
  <c r="P175"/>
  <c r="M175"/>
  <c r="F175"/>
  <c r="X174"/>
  <c r="W174"/>
  <c r="P174"/>
  <c r="M174"/>
  <c r="F174"/>
  <c r="X173"/>
  <c r="W173"/>
  <c r="P173"/>
  <c r="M173"/>
  <c r="F173"/>
  <c r="X172"/>
  <c r="W172"/>
  <c r="P172"/>
  <c r="M172"/>
  <c r="F172"/>
  <c r="X171"/>
  <c r="W171"/>
  <c r="P171"/>
  <c r="M171"/>
  <c r="F171"/>
  <c r="X170"/>
  <c r="W170"/>
  <c r="P170"/>
  <c r="M170"/>
  <c r="F170"/>
  <c r="X169"/>
  <c r="W169"/>
  <c r="P169"/>
  <c r="M169"/>
  <c r="F169"/>
  <c r="X168"/>
  <c r="W168"/>
  <c r="P168"/>
  <c r="M168"/>
  <c r="F168"/>
  <c r="X167"/>
  <c r="W167"/>
  <c r="P167"/>
  <c r="M167"/>
  <c r="F167"/>
  <c r="X166"/>
  <c r="W166"/>
  <c r="P166"/>
  <c r="M166"/>
  <c r="F166"/>
  <c r="X165"/>
  <c r="W165"/>
  <c r="P165"/>
  <c r="M165"/>
  <c r="F165"/>
  <c r="X164"/>
  <c r="W164"/>
  <c r="P164"/>
  <c r="M164"/>
  <c r="F164"/>
  <c r="X163"/>
  <c r="W163"/>
  <c r="P163"/>
  <c r="M163"/>
  <c r="F163"/>
  <c r="X162"/>
  <c r="W162"/>
  <c r="P162"/>
  <c r="M162"/>
  <c r="F162"/>
  <c r="X161"/>
  <c r="W161"/>
  <c r="P161"/>
  <c r="M161"/>
  <c r="F161"/>
  <c r="X160"/>
  <c r="W160"/>
  <c r="P160"/>
  <c r="M160"/>
  <c r="F160"/>
  <c r="X159"/>
  <c r="W159"/>
  <c r="P159"/>
  <c r="M159"/>
  <c r="F159"/>
  <c r="X158"/>
  <c r="W158"/>
  <c r="P158"/>
  <c r="M158"/>
  <c r="F158"/>
  <c r="X157"/>
  <c r="W157"/>
  <c r="P157"/>
  <c r="M157"/>
  <c r="F157"/>
  <c r="X156"/>
  <c r="W156"/>
  <c r="P156"/>
  <c r="M156"/>
  <c r="F156"/>
  <c r="X155"/>
  <c r="W155"/>
  <c r="P155"/>
  <c r="M155"/>
  <c r="F155"/>
  <c r="X154"/>
  <c r="W154"/>
  <c r="P154"/>
  <c r="M154"/>
  <c r="F154"/>
  <c r="X153"/>
  <c r="W153"/>
  <c r="P153"/>
  <c r="M153"/>
  <c r="F153"/>
  <c r="X152"/>
  <c r="W152"/>
  <c r="P152"/>
  <c r="M152"/>
  <c r="F152"/>
  <c r="X151"/>
  <c r="W151"/>
  <c r="P151"/>
  <c r="M151"/>
  <c r="F151"/>
  <c r="X150"/>
  <c r="W150"/>
  <c r="P150"/>
  <c r="M150"/>
  <c r="F150"/>
  <c r="X149"/>
  <c r="W149"/>
  <c r="P149"/>
  <c r="M149"/>
  <c r="F149"/>
  <c r="X148"/>
  <c r="W148"/>
  <c r="P148"/>
  <c r="M148"/>
  <c r="F148"/>
  <c r="X147"/>
  <c r="W147"/>
  <c r="P147"/>
  <c r="M147"/>
  <c r="F147"/>
  <c r="X146"/>
  <c r="W146"/>
  <c r="P146"/>
  <c r="M146"/>
  <c r="F146"/>
  <c r="X145"/>
  <c r="W145"/>
  <c r="P145"/>
  <c r="M145"/>
  <c r="F145"/>
  <c r="X144"/>
  <c r="W144"/>
  <c r="P144"/>
  <c r="M144"/>
  <c r="F144"/>
  <c r="X143"/>
  <c r="W143"/>
  <c r="P143"/>
  <c r="M143"/>
  <c r="F143"/>
  <c r="X142"/>
  <c r="W142"/>
  <c r="P142"/>
  <c r="M142"/>
  <c r="F142"/>
  <c r="X141"/>
  <c r="W141"/>
  <c r="P141"/>
  <c r="M141"/>
  <c r="F141"/>
  <c r="X140"/>
  <c r="W140"/>
  <c r="P140"/>
  <c r="M140"/>
  <c r="F140"/>
  <c r="X139"/>
  <c r="W139"/>
  <c r="P139"/>
  <c r="M139"/>
  <c r="F139"/>
  <c r="X138"/>
  <c r="W138"/>
  <c r="P138"/>
  <c r="M138"/>
  <c r="F138"/>
  <c r="X137"/>
  <c r="W137"/>
  <c r="P137"/>
  <c r="M137"/>
  <c r="F137"/>
  <c r="X136"/>
  <c r="W136"/>
  <c r="P136"/>
  <c r="M136"/>
  <c r="F136"/>
  <c r="X135"/>
  <c r="W135"/>
  <c r="P135"/>
  <c r="M135"/>
  <c r="F135"/>
  <c r="X134"/>
  <c r="W134"/>
  <c r="P134"/>
  <c r="M134"/>
  <c r="F134"/>
  <c r="X133"/>
  <c r="W133"/>
  <c r="P133"/>
  <c r="M133"/>
  <c r="F133"/>
  <c r="X132"/>
  <c r="W132"/>
  <c r="P132"/>
  <c r="M132"/>
  <c r="F132"/>
  <c r="X131"/>
  <c r="W131"/>
  <c r="P131"/>
  <c r="M131"/>
  <c r="F131"/>
  <c r="X130"/>
  <c r="W130"/>
  <c r="P130"/>
  <c r="M130"/>
  <c r="F130"/>
  <c r="X129"/>
  <c r="W129"/>
  <c r="P129"/>
  <c r="M129"/>
  <c r="F129"/>
  <c r="X128"/>
  <c r="W128"/>
  <c r="P128"/>
  <c r="M128"/>
  <c r="F128"/>
  <c r="X127"/>
  <c r="W127"/>
  <c r="P127"/>
  <c r="M127"/>
  <c r="F127"/>
  <c r="X126"/>
  <c r="W126"/>
  <c r="P126"/>
  <c r="M126"/>
  <c r="F126"/>
  <c r="X125"/>
  <c r="W125"/>
  <c r="P125"/>
  <c r="M125"/>
  <c r="F125"/>
  <c r="X124"/>
  <c r="W124"/>
  <c r="P124"/>
  <c r="M124"/>
  <c r="F124"/>
  <c r="X123"/>
  <c r="W123"/>
  <c r="P123"/>
  <c r="M123"/>
  <c r="F123"/>
  <c r="X122"/>
  <c r="W122"/>
  <c r="P122"/>
  <c r="M122"/>
  <c r="F122"/>
  <c r="X121"/>
  <c r="W121"/>
  <c r="P121"/>
  <c r="M121"/>
  <c r="F121"/>
  <c r="X120"/>
  <c r="W120"/>
  <c r="P120"/>
  <c r="M120"/>
  <c r="F120"/>
  <c r="X119"/>
  <c r="W119"/>
  <c r="P119"/>
  <c r="M119"/>
  <c r="F119"/>
  <c r="X118"/>
  <c r="W118"/>
  <c r="P118"/>
  <c r="M118"/>
  <c r="F118"/>
  <c r="X117"/>
  <c r="W117"/>
  <c r="P117"/>
  <c r="M117"/>
  <c r="F117"/>
  <c r="X116"/>
  <c r="W116"/>
  <c r="P116"/>
  <c r="M116"/>
  <c r="F116"/>
  <c r="X115"/>
  <c r="W115"/>
  <c r="P115"/>
  <c r="M115"/>
  <c r="F115"/>
  <c r="X114"/>
  <c r="W114"/>
  <c r="P114"/>
  <c r="M114"/>
  <c r="F114"/>
  <c r="X113"/>
  <c r="W113"/>
  <c r="P113"/>
  <c r="M113"/>
  <c r="F113"/>
  <c r="X112"/>
  <c r="W112"/>
  <c r="P112"/>
  <c r="M112"/>
  <c r="F112"/>
  <c r="X111"/>
  <c r="W111"/>
  <c r="P111"/>
  <c r="M111"/>
  <c r="F111"/>
  <c r="X110"/>
  <c r="W110"/>
  <c r="P110"/>
  <c r="M110"/>
  <c r="F110"/>
  <c r="X109"/>
  <c r="W109"/>
  <c r="P109"/>
  <c r="M109"/>
  <c r="F109"/>
  <c r="X108"/>
  <c r="W108"/>
  <c r="P108"/>
  <c r="M108"/>
  <c r="F108"/>
  <c r="X107"/>
  <c r="W107"/>
  <c r="P107"/>
  <c r="M107"/>
  <c r="F107"/>
  <c r="X106"/>
  <c r="W106"/>
  <c r="P106"/>
  <c r="M106"/>
  <c r="F106"/>
  <c r="X105"/>
  <c r="W105"/>
  <c r="P105"/>
  <c r="M105"/>
  <c r="F105"/>
  <c r="X104"/>
  <c r="W104"/>
  <c r="P104"/>
  <c r="M104"/>
  <c r="F104"/>
  <c r="X103"/>
  <c r="W103"/>
  <c r="P103"/>
  <c r="M103"/>
  <c r="F103"/>
  <c r="X102"/>
  <c r="W102"/>
  <c r="P102"/>
  <c r="M102"/>
  <c r="F102"/>
  <c r="X101"/>
  <c r="W101"/>
  <c r="P101"/>
  <c r="M101"/>
  <c r="F101"/>
  <c r="X100"/>
  <c r="W100"/>
  <c r="P100"/>
  <c r="M100"/>
  <c r="F100"/>
  <c r="X99"/>
  <c r="W99"/>
  <c r="P99"/>
  <c r="M99"/>
  <c r="F99"/>
  <c r="X98"/>
  <c r="W98"/>
  <c r="P98"/>
  <c r="M98"/>
  <c r="F98"/>
  <c r="X97"/>
  <c r="W97"/>
  <c r="P97"/>
  <c r="L97"/>
  <c r="M97" s="1"/>
  <c r="F97"/>
  <c r="X96"/>
  <c r="W96"/>
  <c r="P96"/>
  <c r="M96"/>
  <c r="F96"/>
  <c r="X95"/>
  <c r="W95"/>
  <c r="P95"/>
  <c r="L95"/>
  <c r="M95" s="1"/>
  <c r="F95"/>
  <c r="X94"/>
  <c r="W94"/>
  <c r="P94"/>
  <c r="M94"/>
  <c r="F94"/>
  <c r="X93"/>
  <c r="W93"/>
  <c r="P93"/>
  <c r="M93"/>
  <c r="F93"/>
  <c r="X92"/>
  <c r="W92"/>
  <c r="P92"/>
  <c r="M92"/>
  <c r="F92"/>
  <c r="X91"/>
  <c r="W91"/>
  <c r="P91"/>
  <c r="M91"/>
  <c r="F91"/>
  <c r="X90"/>
  <c r="W90"/>
  <c r="P90"/>
  <c r="M90"/>
  <c r="F90"/>
  <c r="X89"/>
  <c r="W89"/>
  <c r="P89"/>
  <c r="M89"/>
  <c r="F89"/>
  <c r="X88"/>
  <c r="W88"/>
  <c r="P88"/>
  <c r="M88"/>
  <c r="F88"/>
  <c r="X87"/>
  <c r="W87"/>
  <c r="P87"/>
  <c r="M87"/>
  <c r="F87"/>
  <c r="X86"/>
  <c r="W86"/>
  <c r="P86"/>
  <c r="M86"/>
  <c r="F86"/>
  <c r="X85"/>
  <c r="W85"/>
  <c r="P85"/>
  <c r="M85"/>
  <c r="F85"/>
  <c r="X84"/>
  <c r="W84"/>
  <c r="P84"/>
  <c r="M84"/>
  <c r="F84"/>
  <c r="X83"/>
  <c r="W83"/>
  <c r="P83"/>
  <c r="M83"/>
  <c r="F83"/>
  <c r="X82"/>
  <c r="W82"/>
  <c r="P82"/>
  <c r="M82"/>
  <c r="F82"/>
  <c r="X81"/>
  <c r="W81"/>
  <c r="P81"/>
  <c r="M81"/>
  <c r="F81"/>
  <c r="X80"/>
  <c r="W80"/>
  <c r="P80"/>
  <c r="M80"/>
  <c r="F80"/>
  <c r="X79"/>
  <c r="W79"/>
  <c r="P79"/>
  <c r="M79"/>
  <c r="F79"/>
  <c r="X78"/>
  <c r="W78"/>
  <c r="P78"/>
  <c r="M78"/>
  <c r="F78"/>
  <c r="X77"/>
  <c r="W77"/>
  <c r="P77"/>
  <c r="M77"/>
  <c r="F77"/>
  <c r="X76"/>
  <c r="W76"/>
  <c r="P76"/>
  <c r="M76"/>
  <c r="F76"/>
  <c r="X75"/>
  <c r="W75"/>
  <c r="P75"/>
  <c r="M75"/>
  <c r="F75"/>
  <c r="X74"/>
  <c r="W74"/>
  <c r="P74"/>
  <c r="M74"/>
  <c r="F74"/>
  <c r="X73"/>
  <c r="W73"/>
  <c r="P73"/>
  <c r="M73"/>
  <c r="F73"/>
  <c r="X72"/>
  <c r="W72"/>
  <c r="P72"/>
  <c r="M72"/>
  <c r="F72"/>
  <c r="X71"/>
  <c r="W71"/>
  <c r="P71"/>
  <c r="M71"/>
  <c r="F71"/>
  <c r="X70"/>
  <c r="W70"/>
  <c r="P70"/>
  <c r="L70"/>
  <c r="M70" s="1"/>
  <c r="F70"/>
  <c r="X69"/>
  <c r="W69"/>
  <c r="P69"/>
  <c r="M69"/>
  <c r="F69"/>
  <c r="X68"/>
  <c r="W68"/>
  <c r="P68"/>
  <c r="M68"/>
  <c r="F68"/>
  <c r="X67"/>
  <c r="W67"/>
  <c r="P67"/>
  <c r="M67"/>
  <c r="F67"/>
  <c r="X66"/>
  <c r="W66"/>
  <c r="P66"/>
  <c r="M66"/>
  <c r="F66"/>
  <c r="X65"/>
  <c r="W65"/>
  <c r="P65"/>
  <c r="M65"/>
  <c r="F65"/>
  <c r="X64"/>
  <c r="W64"/>
  <c r="P64"/>
  <c r="M64"/>
  <c r="F64"/>
  <c r="X63"/>
  <c r="W63"/>
  <c r="P63"/>
  <c r="M63"/>
  <c r="F63"/>
  <c r="X62"/>
  <c r="W62"/>
  <c r="P62"/>
  <c r="M62"/>
  <c r="F62"/>
  <c r="X61"/>
  <c r="W61"/>
  <c r="P61"/>
  <c r="M61"/>
  <c r="F61"/>
  <c r="X60"/>
  <c r="W60"/>
  <c r="P60"/>
  <c r="M60"/>
  <c r="F60"/>
  <c r="X59"/>
  <c r="W59"/>
  <c r="P59"/>
  <c r="M59"/>
  <c r="F59"/>
  <c r="X58"/>
  <c r="W58"/>
  <c r="P58"/>
  <c r="M58"/>
  <c r="F58"/>
  <c r="X57"/>
  <c r="W57"/>
  <c r="P57"/>
  <c r="M57"/>
  <c r="F57"/>
  <c r="X56"/>
  <c r="W56"/>
  <c r="P56"/>
  <c r="M56"/>
  <c r="F56"/>
  <c r="X55"/>
  <c r="W55"/>
  <c r="P55"/>
  <c r="M55"/>
  <c r="F55"/>
  <c r="X54"/>
  <c r="W54"/>
  <c r="P54"/>
  <c r="M54"/>
  <c r="F54"/>
  <c r="X53"/>
  <c r="W53"/>
  <c r="P53"/>
  <c r="M53"/>
  <c r="F53"/>
  <c r="X52"/>
  <c r="W52"/>
  <c r="P52"/>
  <c r="M52"/>
  <c r="F52"/>
  <c r="X51"/>
  <c r="W51"/>
  <c r="P51"/>
  <c r="M51"/>
  <c r="F51"/>
  <c r="X50"/>
  <c r="W50"/>
  <c r="P50"/>
  <c r="M50"/>
  <c r="F50"/>
  <c r="X49"/>
  <c r="W49"/>
  <c r="P49"/>
  <c r="M49"/>
  <c r="F49"/>
  <c r="X48"/>
  <c r="W48"/>
  <c r="P48"/>
  <c r="M48"/>
  <c r="F48"/>
  <c r="X47"/>
  <c r="W47"/>
  <c r="P47"/>
  <c r="M47"/>
  <c r="F47"/>
  <c r="X46"/>
  <c r="W46"/>
  <c r="P46"/>
  <c r="M46"/>
  <c r="F46"/>
  <c r="X45"/>
  <c r="W45"/>
  <c r="P45"/>
  <c r="M45"/>
  <c r="F45"/>
  <c r="X44"/>
  <c r="W44"/>
  <c r="P44"/>
  <c r="M44"/>
  <c r="F44"/>
  <c r="X43"/>
  <c r="W43"/>
  <c r="P43"/>
  <c r="M43"/>
  <c r="F43"/>
  <c r="X42"/>
  <c r="W42"/>
  <c r="P42"/>
  <c r="M42"/>
  <c r="F42"/>
  <c r="X41"/>
  <c r="W41"/>
  <c r="P41"/>
  <c r="M41"/>
  <c r="F41"/>
  <c r="X40"/>
  <c r="W40"/>
  <c r="P40"/>
  <c r="M40"/>
  <c r="F40"/>
  <c r="X39"/>
  <c r="W39"/>
  <c r="P39"/>
  <c r="M39"/>
  <c r="F39"/>
  <c r="X38"/>
  <c r="W38"/>
  <c r="P38"/>
  <c r="M38"/>
  <c r="F38"/>
  <c r="X37"/>
  <c r="W37"/>
  <c r="P37"/>
  <c r="M37"/>
  <c r="F37"/>
  <c r="X36"/>
  <c r="W36"/>
  <c r="P36"/>
  <c r="M36"/>
  <c r="F36"/>
  <c r="X35"/>
  <c r="W35"/>
  <c r="P35"/>
  <c r="M35"/>
  <c r="F35"/>
  <c r="X34"/>
  <c r="W34"/>
  <c r="P34"/>
  <c r="M34"/>
  <c r="F34"/>
  <c r="X33"/>
  <c r="W33"/>
  <c r="P33"/>
  <c r="M33"/>
  <c r="F33"/>
  <c r="X32"/>
  <c r="W32"/>
  <c r="P32"/>
  <c r="M32"/>
  <c r="F32"/>
  <c r="X31"/>
  <c r="W31"/>
  <c r="P31"/>
  <c r="M31"/>
  <c r="F31"/>
  <c r="X30"/>
  <c r="W30"/>
  <c r="P30"/>
  <c r="M30"/>
  <c r="F30"/>
  <c r="X29"/>
  <c r="W29"/>
  <c r="P29"/>
  <c r="M29"/>
  <c r="F29"/>
  <c r="X28"/>
  <c r="W28"/>
  <c r="P28"/>
  <c r="M28"/>
  <c r="F28"/>
  <c r="X27"/>
  <c r="W27"/>
  <c r="P27"/>
  <c r="M27"/>
  <c r="F27"/>
  <c r="X26"/>
  <c r="W26"/>
  <c r="P26"/>
  <c r="M26"/>
  <c r="F26"/>
  <c r="X25"/>
  <c r="W25"/>
  <c r="P25"/>
  <c r="M25"/>
  <c r="F25"/>
  <c r="X24"/>
  <c r="W24"/>
  <c r="P24"/>
  <c r="M24"/>
  <c r="F24"/>
  <c r="X23"/>
  <c r="W23"/>
  <c r="P23"/>
  <c r="M23"/>
  <c r="F23"/>
  <c r="X22"/>
  <c r="W22"/>
  <c r="P22"/>
  <c r="M22"/>
  <c r="F22"/>
  <c r="X21"/>
  <c r="W21"/>
  <c r="P21"/>
  <c r="M21"/>
  <c r="F21"/>
  <c r="X20"/>
  <c r="W20"/>
  <c r="P20"/>
  <c r="M20"/>
  <c r="F20"/>
  <c r="X19"/>
  <c r="W19"/>
  <c r="P19"/>
  <c r="M19"/>
  <c r="F19"/>
  <c r="X18"/>
  <c r="W18"/>
  <c r="P18"/>
  <c r="M18"/>
  <c r="F18"/>
  <c r="X17"/>
  <c r="W17"/>
  <c r="P17"/>
  <c r="M17"/>
  <c r="F17"/>
  <c r="X16"/>
  <c r="W16"/>
  <c r="P16"/>
  <c r="M16"/>
  <c r="F16"/>
  <c r="X15"/>
  <c r="W15"/>
  <c r="P15"/>
  <c r="M15"/>
  <c r="F15"/>
  <c r="X14"/>
  <c r="W14"/>
  <c r="P14"/>
  <c r="M14"/>
  <c r="F14"/>
  <c r="X13"/>
  <c r="W13"/>
  <c r="P13"/>
  <c r="M13"/>
  <c r="F13"/>
  <c r="X12"/>
  <c r="W12"/>
  <c r="P12"/>
  <c r="M12"/>
  <c r="F12"/>
  <c r="X11"/>
  <c r="W11"/>
  <c r="P11"/>
  <c r="M11"/>
  <c r="F11"/>
  <c r="X10"/>
  <c r="W10"/>
  <c r="P10"/>
  <c r="M10"/>
  <c r="F10"/>
  <c r="X9"/>
  <c r="W9"/>
  <c r="P9"/>
  <c r="M9"/>
  <c r="F9"/>
  <c r="X8"/>
  <c r="W8"/>
  <c r="P8"/>
  <c r="M8"/>
  <c r="F8"/>
  <c r="X7"/>
  <c r="W7"/>
  <c r="P7"/>
  <c r="M7"/>
  <c r="F7"/>
  <c r="X6"/>
  <c r="W6"/>
  <c r="P6"/>
  <c r="M6"/>
  <c r="F6"/>
  <c r="X5"/>
  <c r="W5"/>
  <c r="P5"/>
  <c r="M5"/>
  <c r="F5"/>
  <c r="X4"/>
  <c r="W4"/>
  <c r="P4"/>
  <c r="M4"/>
  <c r="F4"/>
  <c r="X3"/>
  <c r="W3"/>
  <c r="P3"/>
  <c r="M3"/>
  <c r="F3"/>
  <c r="X2"/>
  <c r="W2"/>
  <c r="P2"/>
  <c r="Q2" s="1"/>
  <c r="F2"/>
  <c r="Q77" l="1"/>
  <c r="Z77" s="1"/>
  <c r="AA77" s="1"/>
  <c r="Q101"/>
  <c r="Z101" s="1"/>
  <c r="AA101" s="1"/>
  <c r="Q109"/>
  <c r="Z109" s="1"/>
  <c r="AA109" s="1"/>
  <c r="Q125"/>
  <c r="Z125" s="1"/>
  <c r="AA125" s="1"/>
  <c r="Q79"/>
  <c r="Z79" s="1"/>
  <c r="AA79" s="1"/>
  <c r="Q8"/>
  <c r="Z8" s="1"/>
  <c r="AA8" s="1"/>
  <c r="Q16"/>
  <c r="Z16" s="1"/>
  <c r="AA16" s="1"/>
  <c r="Q176"/>
  <c r="Z176" s="1"/>
  <c r="AA176" s="1"/>
  <c r="Q34"/>
  <c r="Z34" s="1"/>
  <c r="AA34" s="1"/>
  <c r="Q58"/>
  <c r="Z58" s="1"/>
  <c r="AA58" s="1"/>
  <c r="Q90"/>
  <c r="Z90" s="1"/>
  <c r="AA90" s="1"/>
  <c r="Q65"/>
  <c r="Z65" s="1"/>
  <c r="AA65" s="1"/>
  <c r="Q73"/>
  <c r="Z73" s="1"/>
  <c r="AA73" s="1"/>
  <c r="Q81"/>
  <c r="Z81" s="1"/>
  <c r="AA81" s="1"/>
  <c r="Q89"/>
  <c r="Z89" s="1"/>
  <c r="AA89" s="1"/>
  <c r="Q185"/>
  <c r="Z185" s="1"/>
  <c r="AA185" s="1"/>
  <c r="Q193"/>
  <c r="Z193" s="1"/>
  <c r="AA193" s="1"/>
  <c r="Q201"/>
  <c r="Z201" s="1"/>
  <c r="AA201" s="1"/>
  <c r="Q209"/>
  <c r="Z209" s="1"/>
  <c r="AA209" s="1"/>
  <c r="Q217"/>
  <c r="Z217" s="1"/>
  <c r="AA217" s="1"/>
  <c r="Q225"/>
  <c r="Z225" s="1"/>
  <c r="AA225" s="1"/>
  <c r="Q5"/>
  <c r="Z5" s="1"/>
  <c r="AA5" s="1"/>
  <c r="Q13"/>
  <c r="Z13" s="1"/>
  <c r="AA13" s="1"/>
  <c r="Q141"/>
  <c r="Z141" s="1"/>
  <c r="AA141" s="1"/>
  <c r="Q45"/>
  <c r="Z45" s="1"/>
  <c r="AA45" s="1"/>
  <c r="Q15"/>
  <c r="Q55"/>
  <c r="Z55" s="1"/>
  <c r="AA55" s="1"/>
  <c r="Q41"/>
  <c r="Z41" s="1"/>
  <c r="AA41" s="1"/>
  <c r="Q102"/>
  <c r="Z102" s="1"/>
  <c r="AA102" s="1"/>
  <c r="Q118"/>
  <c r="Z118" s="1"/>
  <c r="AA118" s="1"/>
  <c r="Q134"/>
  <c r="Z134" s="1"/>
  <c r="AA134" s="1"/>
  <c r="Q158"/>
  <c r="Z158" s="1"/>
  <c r="AA158" s="1"/>
  <c r="Q166"/>
  <c r="Z166" s="1"/>
  <c r="AA166" s="1"/>
  <c r="Q174"/>
  <c r="Z174" s="1"/>
  <c r="AA174" s="1"/>
  <c r="Q182"/>
  <c r="Z182" s="1"/>
  <c r="AA182" s="1"/>
  <c r="Q35"/>
  <c r="Z35" s="1"/>
  <c r="AA35" s="1"/>
  <c r="Q43"/>
  <c r="Z43" s="1"/>
  <c r="AA43" s="1"/>
  <c r="Q10"/>
  <c r="Z10" s="1"/>
  <c r="AA10" s="1"/>
  <c r="Q91"/>
  <c r="Z91" s="1"/>
  <c r="AA91" s="1"/>
  <c r="Q99"/>
  <c r="Z99" s="1"/>
  <c r="AA99" s="1"/>
  <c r="Q115"/>
  <c r="Z115" s="1"/>
  <c r="AA115" s="1"/>
  <c r="Q131"/>
  <c r="Z131" s="1"/>
  <c r="AA131" s="1"/>
  <c r="Q147"/>
  <c r="Z147" s="1"/>
  <c r="AA147" s="1"/>
  <c r="Q155"/>
  <c r="Z155" s="1"/>
  <c r="AA155" s="1"/>
  <c r="Q80"/>
  <c r="Z80" s="1"/>
  <c r="AA80" s="1"/>
  <c r="Q20"/>
  <c r="Z20" s="1"/>
  <c r="AA20" s="1"/>
  <c r="Q98"/>
  <c r="Z98" s="1"/>
  <c r="AA98" s="1"/>
  <c r="Q103"/>
  <c r="Z103" s="1"/>
  <c r="AA103" s="1"/>
  <c r="Q119"/>
  <c r="Z119" s="1"/>
  <c r="AA119" s="1"/>
  <c r="Q135"/>
  <c r="Z135" s="1"/>
  <c r="AA135" s="1"/>
  <c r="Q38"/>
  <c r="Z38" s="1"/>
  <c r="AA38" s="1"/>
  <c r="Q46"/>
  <c r="Z46" s="1"/>
  <c r="AA46" s="1"/>
  <c r="Q54"/>
  <c r="Z54" s="1"/>
  <c r="AA54" s="1"/>
  <c r="Q57"/>
  <c r="Z57" s="1"/>
  <c r="AA57" s="1"/>
  <c r="Q60"/>
  <c r="Z60" s="1"/>
  <c r="AA60" s="1"/>
  <c r="Q68"/>
  <c r="Z68" s="1"/>
  <c r="AA68" s="1"/>
  <c r="Q84"/>
  <c r="Z84" s="1"/>
  <c r="AA84" s="1"/>
  <c r="Q6"/>
  <c r="Z6" s="1"/>
  <c r="AA6" s="1"/>
  <c r="Q14"/>
  <c r="Z14" s="1"/>
  <c r="AA14" s="1"/>
  <c r="Q17"/>
  <c r="Z17" s="1"/>
  <c r="AA17" s="1"/>
  <c r="Q39"/>
  <c r="Z39" s="1"/>
  <c r="AA39" s="1"/>
  <c r="Q72"/>
  <c r="Z72" s="1"/>
  <c r="AA72" s="1"/>
  <c r="Q3"/>
  <c r="Z3" s="1"/>
  <c r="AA3" s="1"/>
  <c r="Q11"/>
  <c r="Z11" s="1"/>
  <c r="AA11" s="1"/>
  <c r="Q22"/>
  <c r="Z22" s="1"/>
  <c r="AA22" s="1"/>
  <c r="Q30"/>
  <c r="Z30" s="1"/>
  <c r="AA30" s="1"/>
  <c r="Q74"/>
  <c r="Z74" s="1"/>
  <c r="AA74" s="1"/>
  <c r="Q104"/>
  <c r="Z104" s="1"/>
  <c r="AA104" s="1"/>
  <c r="Q120"/>
  <c r="Z120" s="1"/>
  <c r="AA120" s="1"/>
  <c r="Q144"/>
  <c r="Z144" s="1"/>
  <c r="AA144" s="1"/>
  <c r="Q152"/>
  <c r="Z152" s="1"/>
  <c r="AA152" s="1"/>
  <c r="Q19"/>
  <c r="Z19" s="1"/>
  <c r="AA19" s="1"/>
  <c r="Q27"/>
  <c r="Z27" s="1"/>
  <c r="AA27" s="1"/>
  <c r="Q71"/>
  <c r="Z71" s="1"/>
  <c r="AA71" s="1"/>
  <c r="Q106"/>
  <c r="Z106" s="1"/>
  <c r="AA106" s="1"/>
  <c r="Q122"/>
  <c r="Z122" s="1"/>
  <c r="AA122" s="1"/>
  <c r="Q138"/>
  <c r="Z138" s="1"/>
  <c r="AA138" s="1"/>
  <c r="Q146"/>
  <c r="Z146" s="1"/>
  <c r="AA146" s="1"/>
  <c r="Q154"/>
  <c r="Z154" s="1"/>
  <c r="AA154" s="1"/>
  <c r="Q162"/>
  <c r="Z162" s="1"/>
  <c r="AA162" s="1"/>
  <c r="Q170"/>
  <c r="Z170" s="1"/>
  <c r="AA170" s="1"/>
  <c r="Q189"/>
  <c r="Z189" s="1"/>
  <c r="AA189" s="1"/>
  <c r="Q197"/>
  <c r="Z197" s="1"/>
  <c r="AA197" s="1"/>
  <c r="Q205"/>
  <c r="Z205" s="1"/>
  <c r="AA205" s="1"/>
  <c r="Q213"/>
  <c r="Z213" s="1"/>
  <c r="AA213" s="1"/>
  <c r="Q221"/>
  <c r="Z221" s="1"/>
  <c r="AA221" s="1"/>
  <c r="Q24"/>
  <c r="Z24" s="1"/>
  <c r="AA24" s="1"/>
  <c r="Q29"/>
  <c r="Z29" s="1"/>
  <c r="AA29" s="1"/>
  <c r="Q70"/>
  <c r="Z70" s="1"/>
  <c r="AA70" s="1"/>
  <c r="Q78"/>
  <c r="Z78" s="1"/>
  <c r="AA78" s="1"/>
  <c r="Q92"/>
  <c r="Z92" s="1"/>
  <c r="AA92" s="1"/>
  <c r="Q100"/>
  <c r="Z100" s="1"/>
  <c r="AA100" s="1"/>
  <c r="Q108"/>
  <c r="Z108" s="1"/>
  <c r="AA108" s="1"/>
  <c r="Q116"/>
  <c r="Z116" s="1"/>
  <c r="AA116" s="1"/>
  <c r="Q124"/>
  <c r="Z124" s="1"/>
  <c r="AA124" s="1"/>
  <c r="Q132"/>
  <c r="Z132" s="1"/>
  <c r="AA132" s="1"/>
  <c r="Q140"/>
  <c r="Z140" s="1"/>
  <c r="AA140" s="1"/>
  <c r="Q311"/>
  <c r="Z311" s="1"/>
  <c r="AA311" s="1"/>
  <c r="Q31"/>
  <c r="Z31" s="1"/>
  <c r="AA31" s="1"/>
  <c r="Q56"/>
  <c r="Z56" s="1"/>
  <c r="AA56" s="1"/>
  <c r="Q59"/>
  <c r="Z59" s="1"/>
  <c r="AA59" s="1"/>
  <c r="Q67"/>
  <c r="Z67" s="1"/>
  <c r="AA67" s="1"/>
  <c r="Q75"/>
  <c r="Z75" s="1"/>
  <c r="AA75" s="1"/>
  <c r="Q83"/>
  <c r="Z83" s="1"/>
  <c r="AA83" s="1"/>
  <c r="Q97"/>
  <c r="Z97" s="1"/>
  <c r="AA97" s="1"/>
  <c r="Q105"/>
  <c r="Z105" s="1"/>
  <c r="AA105" s="1"/>
  <c r="Q121"/>
  <c r="Z121" s="1"/>
  <c r="AA121" s="1"/>
  <c r="Q137"/>
  <c r="Z137" s="1"/>
  <c r="AA137" s="1"/>
  <c r="Q42"/>
  <c r="Z42" s="1"/>
  <c r="AA42" s="1"/>
  <c r="Q48"/>
  <c r="Z48" s="1"/>
  <c r="AA48" s="1"/>
  <c r="Q62"/>
  <c r="Z62" s="1"/>
  <c r="AA62" s="1"/>
  <c r="Q85"/>
  <c r="Z85" s="1"/>
  <c r="AA85" s="1"/>
  <c r="Q88"/>
  <c r="Z88" s="1"/>
  <c r="AA88" s="1"/>
  <c r="Q112"/>
  <c r="Z112" s="1"/>
  <c r="AA112" s="1"/>
  <c r="Q128"/>
  <c r="Z128" s="1"/>
  <c r="AA128" s="1"/>
  <c r="Q160"/>
  <c r="Z160" s="1"/>
  <c r="AA160" s="1"/>
  <c r="Q168"/>
  <c r="Z168" s="1"/>
  <c r="AA168" s="1"/>
  <c r="Q171"/>
  <c r="Z171" s="1"/>
  <c r="AA171" s="1"/>
  <c r="Q307"/>
  <c r="Z307" s="1"/>
  <c r="AA307" s="1"/>
  <c r="Q82"/>
  <c r="Z82" s="1"/>
  <c r="AA82" s="1"/>
  <c r="Q25"/>
  <c r="Z25" s="1"/>
  <c r="AA25" s="1"/>
  <c r="Q33"/>
  <c r="Z33" s="1"/>
  <c r="AA33" s="1"/>
  <c r="Q50"/>
  <c r="Z50" s="1"/>
  <c r="AA50" s="1"/>
  <c r="Q53"/>
  <c r="Z53" s="1"/>
  <c r="AA53" s="1"/>
  <c r="Q64"/>
  <c r="Z64" s="1"/>
  <c r="AA64" s="1"/>
  <c r="Q40"/>
  <c r="Z40" s="1"/>
  <c r="AA40" s="1"/>
  <c r="Z2"/>
  <c r="Q7"/>
  <c r="Z7" s="1"/>
  <c r="AA7" s="1"/>
  <c r="Q18"/>
  <c r="Z18" s="1"/>
  <c r="AA18" s="1"/>
  <c r="Q21"/>
  <c r="Z21" s="1"/>
  <c r="AA21" s="1"/>
  <c r="Q47"/>
  <c r="Z47" s="1"/>
  <c r="AA47" s="1"/>
  <c r="Q61"/>
  <c r="Z61" s="1"/>
  <c r="AA61" s="1"/>
  <c r="Q87"/>
  <c r="Z87" s="1"/>
  <c r="AA87" s="1"/>
  <c r="Q93"/>
  <c r="Z93" s="1"/>
  <c r="AA93" s="1"/>
  <c r="Q111"/>
  <c r="Z111" s="1"/>
  <c r="AA111" s="1"/>
  <c r="Q114"/>
  <c r="Z114" s="1"/>
  <c r="AA114" s="1"/>
  <c r="Q117"/>
  <c r="Z117" s="1"/>
  <c r="AA117" s="1"/>
  <c r="Q127"/>
  <c r="Z127" s="1"/>
  <c r="AA127" s="1"/>
  <c r="Q130"/>
  <c r="Z130" s="1"/>
  <c r="AA130" s="1"/>
  <c r="Q133"/>
  <c r="Z133" s="1"/>
  <c r="AA133" s="1"/>
  <c r="Q178"/>
  <c r="Z178" s="1"/>
  <c r="AA178" s="1"/>
  <c r="Q226"/>
  <c r="Z226" s="1"/>
  <c r="AA226" s="1"/>
  <c r="Q4"/>
  <c r="Z4" s="1"/>
  <c r="AA4" s="1"/>
  <c r="Q12"/>
  <c r="Z12" s="1"/>
  <c r="AA12" s="1"/>
  <c r="Q26"/>
  <c r="Z26" s="1"/>
  <c r="AA26" s="1"/>
  <c r="Q52"/>
  <c r="Z52" s="1"/>
  <c r="AA52" s="1"/>
  <c r="Q66"/>
  <c r="Z66" s="1"/>
  <c r="AA66" s="1"/>
  <c r="Q69"/>
  <c r="Z69" s="1"/>
  <c r="AA69" s="1"/>
  <c r="Q76"/>
  <c r="Z76" s="1"/>
  <c r="AA76" s="1"/>
  <c r="Q136"/>
  <c r="Z136" s="1"/>
  <c r="AA136" s="1"/>
  <c r="Q9"/>
  <c r="Z9" s="1"/>
  <c r="AA9" s="1"/>
  <c r="Z15"/>
  <c r="AA15" s="1"/>
  <c r="Q23"/>
  <c r="Z23" s="1"/>
  <c r="AA23" s="1"/>
  <c r="Q49"/>
  <c r="Z49" s="1"/>
  <c r="AA49" s="1"/>
  <c r="Q63"/>
  <c r="Z63" s="1"/>
  <c r="AA63" s="1"/>
  <c r="Q95"/>
  <c r="Z95" s="1"/>
  <c r="AA95" s="1"/>
  <c r="Q107"/>
  <c r="Z107" s="1"/>
  <c r="AA107" s="1"/>
  <c r="Q110"/>
  <c r="Z110" s="1"/>
  <c r="AA110" s="1"/>
  <c r="Q113"/>
  <c r="Z113" s="1"/>
  <c r="AA113" s="1"/>
  <c r="Q123"/>
  <c r="Z123" s="1"/>
  <c r="AA123" s="1"/>
  <c r="Q126"/>
  <c r="Z126" s="1"/>
  <c r="AA126" s="1"/>
  <c r="Q129"/>
  <c r="Z129" s="1"/>
  <c r="AA129" s="1"/>
  <c r="Q139"/>
  <c r="Z139" s="1"/>
  <c r="AA139" s="1"/>
  <c r="Q142"/>
  <c r="Z142" s="1"/>
  <c r="AA142" s="1"/>
  <c r="Q150"/>
  <c r="Z150" s="1"/>
  <c r="AA150" s="1"/>
  <c r="Q308"/>
  <c r="Z308" s="1"/>
  <c r="AA308" s="1"/>
  <c r="Q28"/>
  <c r="Z28" s="1"/>
  <c r="AA28" s="1"/>
  <c r="Q44"/>
  <c r="Z44" s="1"/>
  <c r="AA44" s="1"/>
  <c r="Q37"/>
  <c r="Z37" s="1"/>
  <c r="AA37" s="1"/>
  <c r="Q36"/>
  <c r="Z36" s="1"/>
  <c r="AA36" s="1"/>
  <c r="Q32"/>
  <c r="Z32" s="1"/>
  <c r="AA32" s="1"/>
  <c r="Q51"/>
  <c r="Z51" s="1"/>
  <c r="AA51" s="1"/>
  <c r="Q94"/>
  <c r="Z94" s="1"/>
  <c r="AA94" s="1"/>
  <c r="Q86"/>
  <c r="Z86" s="1"/>
  <c r="AA86" s="1"/>
  <c r="Q96"/>
  <c r="Z96" s="1"/>
  <c r="AA96" s="1"/>
  <c r="Q143"/>
  <c r="Z143" s="1"/>
  <c r="AA143" s="1"/>
  <c r="Q151"/>
  <c r="Z151" s="1"/>
  <c r="AA151" s="1"/>
  <c r="Q159"/>
  <c r="Z159" s="1"/>
  <c r="AA159" s="1"/>
  <c r="Q167"/>
  <c r="Z167" s="1"/>
  <c r="AA167" s="1"/>
  <c r="Q175"/>
  <c r="Z175" s="1"/>
  <c r="AA175" s="1"/>
  <c r="Q183"/>
  <c r="Z183" s="1"/>
  <c r="AA183" s="1"/>
  <c r="Q187"/>
  <c r="Z187" s="1"/>
  <c r="AA187" s="1"/>
  <c r="Q191"/>
  <c r="Z191" s="1"/>
  <c r="AA191" s="1"/>
  <c r="Q195"/>
  <c r="Z195" s="1"/>
  <c r="AA195" s="1"/>
  <c r="Q199"/>
  <c r="Z199" s="1"/>
  <c r="AA199" s="1"/>
  <c r="Q203"/>
  <c r="Z203" s="1"/>
  <c r="AA203" s="1"/>
  <c r="Q207"/>
  <c r="Z207" s="1"/>
  <c r="AA207" s="1"/>
  <c r="Q211"/>
  <c r="Z211" s="1"/>
  <c r="AA211" s="1"/>
  <c r="Q215"/>
  <c r="Z215" s="1"/>
  <c r="AA215" s="1"/>
  <c r="Q219"/>
  <c r="Z219" s="1"/>
  <c r="AA219" s="1"/>
  <c r="Q223"/>
  <c r="Z223" s="1"/>
  <c r="AA223" s="1"/>
  <c r="Q149"/>
  <c r="Z149" s="1"/>
  <c r="AA149" s="1"/>
  <c r="Q157"/>
  <c r="Z157" s="1"/>
  <c r="AA157" s="1"/>
  <c r="Q165"/>
  <c r="Z165" s="1"/>
  <c r="AA165" s="1"/>
  <c r="Q173"/>
  <c r="Z173" s="1"/>
  <c r="AA173" s="1"/>
  <c r="Q181"/>
  <c r="Z181" s="1"/>
  <c r="AA181" s="1"/>
  <c r="Q186"/>
  <c r="Z186" s="1"/>
  <c r="AA186" s="1"/>
  <c r="Q190"/>
  <c r="Z190" s="1"/>
  <c r="AA190" s="1"/>
  <c r="Q194"/>
  <c r="Z194" s="1"/>
  <c r="AA194" s="1"/>
  <c r="Q198"/>
  <c r="Z198" s="1"/>
  <c r="AA198" s="1"/>
  <c r="Q202"/>
  <c r="Z202" s="1"/>
  <c r="AA202" s="1"/>
  <c r="Q206"/>
  <c r="Z206" s="1"/>
  <c r="AA206" s="1"/>
  <c r="Q210"/>
  <c r="Z210" s="1"/>
  <c r="AA210" s="1"/>
  <c r="Q214"/>
  <c r="Z214" s="1"/>
  <c r="AA214" s="1"/>
  <c r="Q218"/>
  <c r="Z218" s="1"/>
  <c r="AA218" s="1"/>
  <c r="Q222"/>
  <c r="Z222" s="1"/>
  <c r="AA222" s="1"/>
  <c r="Q148"/>
  <c r="Z148" s="1"/>
  <c r="AA148" s="1"/>
  <c r="Q156"/>
  <c r="Z156" s="1"/>
  <c r="AA156" s="1"/>
  <c r="Q164"/>
  <c r="Z164" s="1"/>
  <c r="AA164" s="1"/>
  <c r="Q172"/>
  <c r="Z172" s="1"/>
  <c r="AA172" s="1"/>
  <c r="Q180"/>
  <c r="Z180" s="1"/>
  <c r="AA180" s="1"/>
  <c r="Q163"/>
  <c r="Z163" s="1"/>
  <c r="AA163" s="1"/>
  <c r="Q179"/>
  <c r="Z179" s="1"/>
  <c r="AA179" s="1"/>
  <c r="Q145"/>
  <c r="Z145" s="1"/>
  <c r="AA145" s="1"/>
  <c r="Q153"/>
  <c r="Z153" s="1"/>
  <c r="AA153" s="1"/>
  <c r="Q161"/>
  <c r="Z161" s="1"/>
  <c r="AA161" s="1"/>
  <c r="Q169"/>
  <c r="Z169" s="1"/>
  <c r="AA169" s="1"/>
  <c r="Q177"/>
  <c r="Z177" s="1"/>
  <c r="AA177" s="1"/>
  <c r="Q184"/>
  <c r="Z184" s="1"/>
  <c r="AA184" s="1"/>
  <c r="Q188"/>
  <c r="Z188" s="1"/>
  <c r="AA188" s="1"/>
  <c r="Q192"/>
  <c r="Z192" s="1"/>
  <c r="AA192" s="1"/>
  <c r="Q196"/>
  <c r="Z196" s="1"/>
  <c r="AA196" s="1"/>
  <c r="Q200"/>
  <c r="Z200" s="1"/>
  <c r="AA200" s="1"/>
  <c r="Q204"/>
  <c r="Z204" s="1"/>
  <c r="AA204" s="1"/>
  <c r="Q208"/>
  <c r="Z208" s="1"/>
  <c r="AA208" s="1"/>
  <c r="Q212"/>
  <c r="Z212" s="1"/>
  <c r="AA212" s="1"/>
  <c r="Q216"/>
  <c r="Z216" s="1"/>
  <c r="AA216" s="1"/>
  <c r="Q220"/>
  <c r="Z220" s="1"/>
  <c r="AA220" s="1"/>
  <c r="Q224"/>
  <c r="Z224" s="1"/>
  <c r="AA224" s="1"/>
  <c r="Q229"/>
  <c r="Z229" s="1"/>
  <c r="AA229" s="1"/>
  <c r="Q233"/>
  <c r="Z233" s="1"/>
  <c r="AA233" s="1"/>
  <c r="Q237"/>
  <c r="Z237" s="1"/>
  <c r="AA237" s="1"/>
  <c r="Q241"/>
  <c r="Z241" s="1"/>
  <c r="AA241" s="1"/>
  <c r="Q245"/>
  <c r="Z245" s="1"/>
  <c r="AA245" s="1"/>
  <c r="Q249"/>
  <c r="Z249" s="1"/>
  <c r="AA249" s="1"/>
  <c r="Q253"/>
  <c r="Z253" s="1"/>
  <c r="AA253" s="1"/>
  <c r="Q257"/>
  <c r="Z257" s="1"/>
  <c r="AA257" s="1"/>
  <c r="Q261"/>
  <c r="Z261" s="1"/>
  <c r="AA261" s="1"/>
  <c r="Q265"/>
  <c r="Z265" s="1"/>
  <c r="AA265" s="1"/>
  <c r="Q269"/>
  <c r="Z269" s="1"/>
  <c r="AA269" s="1"/>
  <c r="Q273"/>
  <c r="Z273" s="1"/>
  <c r="AA273" s="1"/>
  <c r="Q277"/>
  <c r="Z277" s="1"/>
  <c r="AA277" s="1"/>
  <c r="Q281"/>
  <c r="Z281" s="1"/>
  <c r="AA281" s="1"/>
  <c r="Q285"/>
  <c r="Z285" s="1"/>
  <c r="AA285" s="1"/>
  <c r="Q289"/>
  <c r="Z289" s="1"/>
  <c r="AA289" s="1"/>
  <c r="Q293"/>
  <c r="Z293" s="1"/>
  <c r="AA293" s="1"/>
  <c r="Q297"/>
  <c r="Z297" s="1"/>
  <c r="AA297" s="1"/>
  <c r="Q301"/>
  <c r="Z301" s="1"/>
  <c r="AA301" s="1"/>
  <c r="Q305"/>
  <c r="Z305" s="1"/>
  <c r="AA305" s="1"/>
  <c r="Q309"/>
  <c r="Z309" s="1"/>
  <c r="AA309" s="1"/>
  <c r="Q228"/>
  <c r="Z228" s="1"/>
  <c r="AA228" s="1"/>
  <c r="Q232"/>
  <c r="Z232" s="1"/>
  <c r="AA232" s="1"/>
  <c r="Q236"/>
  <c r="Z236" s="1"/>
  <c r="AA236" s="1"/>
  <c r="Q240"/>
  <c r="Z240" s="1"/>
  <c r="AA240" s="1"/>
  <c r="Q244"/>
  <c r="Z244" s="1"/>
  <c r="AA244" s="1"/>
  <c r="Q248"/>
  <c r="Z248" s="1"/>
  <c r="AA248" s="1"/>
  <c r="Q252"/>
  <c r="Z252" s="1"/>
  <c r="AA252" s="1"/>
  <c r="Q256"/>
  <c r="Z256" s="1"/>
  <c r="AA256" s="1"/>
  <c r="Q260"/>
  <c r="Z260" s="1"/>
  <c r="AA260" s="1"/>
  <c r="Q264"/>
  <c r="Z264" s="1"/>
  <c r="AA264" s="1"/>
  <c r="Q268"/>
  <c r="Z268" s="1"/>
  <c r="AA268" s="1"/>
  <c r="Q272"/>
  <c r="Z272" s="1"/>
  <c r="AA272" s="1"/>
  <c r="Q276"/>
  <c r="Z276" s="1"/>
  <c r="AA276" s="1"/>
  <c r="Q280"/>
  <c r="Z280" s="1"/>
  <c r="AA280" s="1"/>
  <c r="Q284"/>
  <c r="Z284" s="1"/>
  <c r="AA284" s="1"/>
  <c r="Q288"/>
  <c r="Z288" s="1"/>
  <c r="AA288" s="1"/>
  <c r="Q292"/>
  <c r="Z292" s="1"/>
  <c r="AA292" s="1"/>
  <c r="Q296"/>
  <c r="Z296" s="1"/>
  <c r="AA296" s="1"/>
  <c r="Q300"/>
  <c r="Z300" s="1"/>
  <c r="AA300" s="1"/>
  <c r="Q304"/>
  <c r="Z304" s="1"/>
  <c r="AA304" s="1"/>
  <c r="Q227"/>
  <c r="Z227" s="1"/>
  <c r="AA227" s="1"/>
  <c r="Q231"/>
  <c r="Z231" s="1"/>
  <c r="AA231" s="1"/>
  <c r="Q235"/>
  <c r="Z235" s="1"/>
  <c r="AA235" s="1"/>
  <c r="Q239"/>
  <c r="Z239" s="1"/>
  <c r="AA239" s="1"/>
  <c r="Q243"/>
  <c r="Z243" s="1"/>
  <c r="AA243" s="1"/>
  <c r="Q247"/>
  <c r="Z247" s="1"/>
  <c r="AA247" s="1"/>
  <c r="Q251"/>
  <c r="Z251" s="1"/>
  <c r="AA251" s="1"/>
  <c r="Q255"/>
  <c r="Z255" s="1"/>
  <c r="AA255" s="1"/>
  <c r="Q259"/>
  <c r="Z259" s="1"/>
  <c r="AA259" s="1"/>
  <c r="Q263"/>
  <c r="Z263" s="1"/>
  <c r="AA263" s="1"/>
  <c r="Q267"/>
  <c r="Z267" s="1"/>
  <c r="AA267" s="1"/>
  <c r="Q271"/>
  <c r="Z271" s="1"/>
  <c r="AA271" s="1"/>
  <c r="Q275"/>
  <c r="Z275" s="1"/>
  <c r="AA275" s="1"/>
  <c r="Q279"/>
  <c r="Z279" s="1"/>
  <c r="AA279" s="1"/>
  <c r="Q283"/>
  <c r="Z283" s="1"/>
  <c r="AA283" s="1"/>
  <c r="Q287"/>
  <c r="Z287" s="1"/>
  <c r="AA287" s="1"/>
  <c r="Q291"/>
  <c r="Z291" s="1"/>
  <c r="AA291" s="1"/>
  <c r="Q295"/>
  <c r="Z295" s="1"/>
  <c r="AA295" s="1"/>
  <c r="Q299"/>
  <c r="Z299" s="1"/>
  <c r="AA299" s="1"/>
  <c r="Q303"/>
  <c r="Z303" s="1"/>
  <c r="AA303" s="1"/>
  <c r="Q230"/>
  <c r="Z230" s="1"/>
  <c r="AA230" s="1"/>
  <c r="Q234"/>
  <c r="Z234" s="1"/>
  <c r="AA234" s="1"/>
  <c r="Q238"/>
  <c r="Z238" s="1"/>
  <c r="AA238" s="1"/>
  <c r="Q242"/>
  <c r="Z242" s="1"/>
  <c r="AA242" s="1"/>
  <c r="Q246"/>
  <c r="Z246" s="1"/>
  <c r="AA246" s="1"/>
  <c r="Q250"/>
  <c r="Z250" s="1"/>
  <c r="AA250" s="1"/>
  <c r="Q254"/>
  <c r="Z254" s="1"/>
  <c r="AA254" s="1"/>
  <c r="Q258"/>
  <c r="Z258" s="1"/>
  <c r="AA258" s="1"/>
  <c r="Q262"/>
  <c r="Z262" s="1"/>
  <c r="AA262" s="1"/>
  <c r="Q266"/>
  <c r="Z266" s="1"/>
  <c r="AA266" s="1"/>
  <c r="Q270"/>
  <c r="Z270" s="1"/>
  <c r="AA270" s="1"/>
  <c r="Q274"/>
  <c r="Z274" s="1"/>
  <c r="AA274" s="1"/>
  <c r="Q278"/>
  <c r="Z278" s="1"/>
  <c r="AA278" s="1"/>
  <c r="Q282"/>
  <c r="Z282" s="1"/>
  <c r="AA282" s="1"/>
  <c r="Q286"/>
  <c r="Z286" s="1"/>
  <c r="AA286" s="1"/>
  <c r="Q290"/>
  <c r="Z290" s="1"/>
  <c r="AA290" s="1"/>
  <c r="Q294"/>
  <c r="Z294" s="1"/>
  <c r="AA294" s="1"/>
  <c r="Q298"/>
  <c r="Z298" s="1"/>
  <c r="AA298" s="1"/>
  <c r="Q302"/>
  <c r="Z302" s="1"/>
  <c r="AA302" s="1"/>
  <c r="Q306"/>
  <c r="Z306" s="1"/>
  <c r="AA306" s="1"/>
  <c r="Q310"/>
  <c r="Z310" s="1"/>
  <c r="AA310" s="1"/>
  <c r="AA2" l="1"/>
</calcChain>
</file>

<file path=xl/sharedStrings.xml><?xml version="1.0" encoding="utf-8"?>
<sst xmlns="http://schemas.openxmlformats.org/spreadsheetml/2006/main" count="3754" uniqueCount="1011">
  <si>
    <t>DATE</t>
  </si>
  <si>
    <t>INVOICE NO</t>
  </si>
  <si>
    <t>PROFORMA</t>
  </si>
  <si>
    <t xml:space="preserve">CONTRACT </t>
  </si>
  <si>
    <t>PRODUCT</t>
  </si>
  <si>
    <t>PRODUCT CATEGORY</t>
  </si>
  <si>
    <t>BUYER</t>
  </si>
  <si>
    <t>SUPPLIER</t>
  </si>
  <si>
    <t>TERMS</t>
  </si>
  <si>
    <t>FCL</t>
  </si>
  <si>
    <t>MTNS</t>
  </si>
  <si>
    <t>SALES RATE</t>
  </si>
  <si>
    <t>SALES VALUE</t>
  </si>
  <si>
    <t>FREIGHT COLLECTED</t>
  </si>
  <si>
    <t>PURCHASE RATE</t>
  </si>
  <si>
    <t>PURCHASE VALUE</t>
  </si>
  <si>
    <t>GROSS PROFIT</t>
  </si>
  <si>
    <t>FREIGHT EXP</t>
  </si>
  <si>
    <t>INSURANCE</t>
  </si>
  <si>
    <t xml:space="preserve">WAR RISK </t>
  </si>
  <si>
    <t>BL SURRENDER EXP</t>
  </si>
  <si>
    <t>OTHER CHG</t>
  </si>
  <si>
    <t>EXP-COLLECTED</t>
  </si>
  <si>
    <t>TOTAL COST</t>
  </si>
  <si>
    <t>PROFIT /HEDGE POINT</t>
  </si>
  <si>
    <t>NET PROFIT</t>
  </si>
  <si>
    <t>PROFIT/LOSS</t>
  </si>
  <si>
    <t>BL NO</t>
  </si>
  <si>
    <t>VASEL NAME</t>
  </si>
  <si>
    <t>PORT OF LOADING</t>
  </si>
  <si>
    <t>PORT OF DISCHARGE</t>
  </si>
  <si>
    <t>DISCHARGE COUNTRY</t>
  </si>
  <si>
    <t>ETD</t>
  </si>
  <si>
    <t>ETA</t>
  </si>
  <si>
    <t>IAS/CI/001/2024-2025</t>
  </si>
  <si>
    <t>IAS/PI/045//2024-2025</t>
  </si>
  <si>
    <t>GVS/31/2024-2025</t>
  </si>
  <si>
    <t>Refined Sugar</t>
  </si>
  <si>
    <t>Green Valley Foods Ltd</t>
  </si>
  <si>
    <t>Atlas Industrial Suppliers Ltd</t>
  </si>
  <si>
    <t>CIF</t>
  </si>
  <si>
    <t>MUN500100</t>
  </si>
  <si>
    <t>Maersk Explorer</t>
  </si>
  <si>
    <t>Jebel Ali, UAE</t>
  </si>
  <si>
    <t>Mombasa,South Africa</t>
  </si>
  <si>
    <t>South Africa</t>
  </si>
  <si>
    <t>IAS/CI/002/2024-2025</t>
  </si>
  <si>
    <t>IAS/PI/054//2024-2025</t>
  </si>
  <si>
    <t>GVS/77/2024-2025</t>
  </si>
  <si>
    <t>Horizon International Foods</t>
  </si>
  <si>
    <t>ALXUMUN20</t>
  </si>
  <si>
    <t>IAS/CI/003/2024-2025</t>
  </si>
  <si>
    <t>IAS/PI/057//2024-2025</t>
  </si>
  <si>
    <t>GVS/68/2024-2025</t>
  </si>
  <si>
    <t xml:space="preserve"> MUN/JE62</t>
  </si>
  <si>
    <t>IAS/CI/004/2024-2025</t>
  </si>
  <si>
    <t>IAS/PI/001/2024-2025</t>
  </si>
  <si>
    <t>RedSea Shipping Solutions</t>
  </si>
  <si>
    <t>FOB</t>
  </si>
  <si>
    <t>COSU64240</t>
  </si>
  <si>
    <t>IAS/CI/005/2024-2025</t>
  </si>
  <si>
    <t>IAS/PI/056//2024-2025</t>
  </si>
  <si>
    <t>GVS/2024-2025</t>
  </si>
  <si>
    <t>Indian Pb Rice</t>
  </si>
  <si>
    <t>Eastern Agro Supplies Ltd</t>
  </si>
  <si>
    <t>ASLMUN244</t>
  </si>
  <si>
    <t>MSC Aurora</t>
  </si>
  <si>
    <t>Nhava Sheva, India</t>
  </si>
  <si>
    <t>IAS/CI/006/2024-2025</t>
  </si>
  <si>
    <t>IAS/PI/052//2024-2025</t>
  </si>
  <si>
    <t>COSU64250</t>
  </si>
  <si>
    <t>IAS/CI/007/2024-2025</t>
  </si>
  <si>
    <t>IAS/PI/PRO//2024-2025</t>
  </si>
  <si>
    <t>EID087854</t>
  </si>
  <si>
    <t>IAS/CI/008/2024-2025</t>
  </si>
  <si>
    <t>IAS/PI/051//2024-2025</t>
  </si>
  <si>
    <t>MEDUOO407</t>
  </si>
  <si>
    <t>CMA CGM Atlas</t>
  </si>
  <si>
    <t>IAS/CI/009/2024-2025</t>
  </si>
  <si>
    <t>IAS/PI/044//2024-2025</t>
  </si>
  <si>
    <t>CNF</t>
  </si>
  <si>
    <t>AMC24081A</t>
  </si>
  <si>
    <t>COSCO Pacific</t>
  </si>
  <si>
    <t>IAS/CI/010/2024-2025</t>
  </si>
  <si>
    <t>IAS/PI/053//2024-2025</t>
  </si>
  <si>
    <t>GVS/9//2024-2025</t>
  </si>
  <si>
    <t>Sunrise Commodities Pte Ltd</t>
  </si>
  <si>
    <t>COSU64251</t>
  </si>
  <si>
    <t>Gujarat,Kandla</t>
  </si>
  <si>
    <t>IAS/CI/011/2024-2025</t>
  </si>
  <si>
    <t>IAS/PI/058//2024-2025</t>
  </si>
  <si>
    <t>GVS/19/2024-2025</t>
  </si>
  <si>
    <t>MEDUOO455</t>
  </si>
  <si>
    <t>IAS/CI/012/2024-2025</t>
  </si>
  <si>
    <t>IAS/PI/005/2024-2025</t>
  </si>
  <si>
    <t>JSLKANJ17</t>
  </si>
  <si>
    <t>IAS/CI/013/2024-2025</t>
  </si>
  <si>
    <t>MEDUOO556</t>
  </si>
  <si>
    <t>IAS/CI/014/2024-2025</t>
  </si>
  <si>
    <t>IAS/PI/003//2024-2025</t>
  </si>
  <si>
    <t>Madagascar Cloves</t>
  </si>
  <si>
    <t>Crescent Packaging Industries</t>
  </si>
  <si>
    <t>MEDUOO530</t>
  </si>
  <si>
    <t>Toamasina, Madagascar</t>
  </si>
  <si>
    <t>IAS/CI/015/2024-2025</t>
  </si>
  <si>
    <t>MEDUOO664</t>
  </si>
  <si>
    <t>IAS/CI/016/2024-2025</t>
  </si>
  <si>
    <t>IAS/PI/041//2024-2025</t>
  </si>
  <si>
    <t>MEDUOO667</t>
  </si>
  <si>
    <t>IAS/CI/017/2024-2025</t>
  </si>
  <si>
    <t>MAEU25655</t>
  </si>
  <si>
    <t>IAS/CI/018/2024-2025</t>
  </si>
  <si>
    <t>GVS/63/2024-2025</t>
  </si>
  <si>
    <t>EID088760</t>
  </si>
  <si>
    <t>Jeddah, Saudi Arabia</t>
  </si>
  <si>
    <t>Saudi Arabia</t>
  </si>
  <si>
    <t>IAS/CI/019/2024-2025</t>
  </si>
  <si>
    <t>MEDUOO807</t>
  </si>
  <si>
    <t>IAS/CI/020/2024-2025</t>
  </si>
  <si>
    <t>IAS/PI/060//2024-2025</t>
  </si>
  <si>
    <t>MLOMUNJ43</t>
  </si>
  <si>
    <t>IAS/CI/021/2024-2025</t>
  </si>
  <si>
    <t>IAS/PI/048//2024-2025</t>
  </si>
  <si>
    <t>MUN250734</t>
  </si>
  <si>
    <t>IAS/CI/022/2024-2025</t>
  </si>
  <si>
    <t>MAEU25682</t>
  </si>
  <si>
    <t>IAS/CI/023/2024-2025</t>
  </si>
  <si>
    <t>IAS/PI/007/2024-2025</t>
  </si>
  <si>
    <t>GVS/95/2024-2025</t>
  </si>
  <si>
    <t>MEDUOO930</t>
  </si>
  <si>
    <t>IAS/CI/024/2024-2025</t>
  </si>
  <si>
    <t>IAS/PI/055//2024-2025</t>
  </si>
  <si>
    <t>MEDUOO902</t>
  </si>
  <si>
    <t>IAS/CI/025/2024-2025</t>
  </si>
  <si>
    <t>IAS/PI/046//2024-2025</t>
  </si>
  <si>
    <t>GVS/61/2024-2025</t>
  </si>
  <si>
    <t>AKKNVS267</t>
  </si>
  <si>
    <t>IAS/CI/026/2024-2025</t>
  </si>
  <si>
    <t>IAS/PI/061//2024-2025</t>
  </si>
  <si>
    <t>MUN250843</t>
  </si>
  <si>
    <t>IAS/CI/027/2024-2025</t>
  </si>
  <si>
    <t>IAS/PI/047//2024-2025</t>
  </si>
  <si>
    <t>HLCUMA307</t>
  </si>
  <si>
    <t>IAS/CI/028/2024-2025</t>
  </si>
  <si>
    <t>GVS/92/2024-2025</t>
  </si>
  <si>
    <t>HLCUMA391</t>
  </si>
  <si>
    <t>India</t>
  </si>
  <si>
    <t>IAS/CI/029/2024-2025</t>
  </si>
  <si>
    <t>EMAMUNA25</t>
  </si>
  <si>
    <t>IAS/CI/030/2024-2025</t>
  </si>
  <si>
    <t>IAS/PI/008//2024-2025</t>
  </si>
  <si>
    <t>MAEU25748</t>
  </si>
  <si>
    <t>IAS/CI/031/2024-2025</t>
  </si>
  <si>
    <t>IAS/PI/059//2024-2025</t>
  </si>
  <si>
    <t>GVS//3/2024-2025</t>
  </si>
  <si>
    <t>MEDUKD135</t>
  </si>
  <si>
    <t>IAS/CI/032/2024-2025</t>
  </si>
  <si>
    <t>Sugar Empty Bags</t>
  </si>
  <si>
    <t>VY013013</t>
  </si>
  <si>
    <t>DHL Express</t>
  </si>
  <si>
    <t>Mumbai, India</t>
  </si>
  <si>
    <t>Cape Town, South Africa</t>
  </si>
  <si>
    <t>IAS/CI/033/2024-2025</t>
  </si>
  <si>
    <t>IAS/PI/006//2024-2025</t>
  </si>
  <si>
    <t>ALXUMUN11</t>
  </si>
  <si>
    <t>IAS/CI/034/2024-2025</t>
  </si>
  <si>
    <t>IAS/PI/11//2024-2025</t>
  </si>
  <si>
    <t>SLSNSBT01</t>
  </si>
  <si>
    <t>Maersk Savannah</t>
  </si>
  <si>
    <t>IAS/CI/035/2024-2025</t>
  </si>
  <si>
    <t>IAS/PI/017//2024-2025</t>
  </si>
  <si>
    <t>MEDUKD185</t>
  </si>
  <si>
    <t>IAS/CI/036/2024-2025</t>
  </si>
  <si>
    <t>IAS/PI/009//2024-2025</t>
  </si>
  <si>
    <t>MAEU25828</t>
  </si>
  <si>
    <t>IAS/CI/037/2024-2025</t>
  </si>
  <si>
    <t>IAS/PI/022//2024-2025</t>
  </si>
  <si>
    <t>HLCUMA335</t>
  </si>
  <si>
    <t>IAS/CI/038/2024-2025</t>
  </si>
  <si>
    <t>HLCUMA336</t>
  </si>
  <si>
    <t>IAS/CI/039/2024-2025</t>
  </si>
  <si>
    <t>IAS/PI/014/2024-2025</t>
  </si>
  <si>
    <t>GVS/55/2024-2025</t>
  </si>
  <si>
    <t>MAEU25872</t>
  </si>
  <si>
    <t>Maersk Cape Town</t>
  </si>
  <si>
    <t>Yemen</t>
  </si>
  <si>
    <t>IAS/CI/040/2024-2025</t>
  </si>
  <si>
    <t>IAS/PI/011//2024-2025</t>
  </si>
  <si>
    <t>MEDUKD235</t>
  </si>
  <si>
    <t>Hapag-Lloyd Berlin</t>
  </si>
  <si>
    <t>IAS/CI/041/2024-2025</t>
  </si>
  <si>
    <t>IAS/PI/010//2024-2025</t>
  </si>
  <si>
    <t>SHIXYPZ31</t>
  </si>
  <si>
    <t>MSC Valencia</t>
  </si>
  <si>
    <t>IAS/CI/042/2024-2025</t>
  </si>
  <si>
    <t>MEDUKD399</t>
  </si>
  <si>
    <t>IAS/CI/043/2024-2025</t>
  </si>
  <si>
    <t>IAS/PI/015/2024-2025</t>
  </si>
  <si>
    <t>SHIXYPZ46</t>
  </si>
  <si>
    <t>IAS/CI/044/2024-2025</t>
  </si>
  <si>
    <t>MAEU25867</t>
  </si>
  <si>
    <t>IAS/CI/045/2024-2025</t>
  </si>
  <si>
    <t>IAS/PI/016//2024-2025</t>
  </si>
  <si>
    <t>MU5087225</t>
  </si>
  <si>
    <t>IAS/CI/046/2024-2025</t>
  </si>
  <si>
    <t>MAEU25973</t>
  </si>
  <si>
    <t>IAS/CI/047/2024-2025</t>
  </si>
  <si>
    <t>IAS/PI/012//2024-2025</t>
  </si>
  <si>
    <t>MAEU25987</t>
  </si>
  <si>
    <t>IAS/CI/048/2024-2025</t>
  </si>
  <si>
    <t>SHIXYPZ15</t>
  </si>
  <si>
    <t>ONE Harmony</t>
  </si>
  <si>
    <t>Port Klang, Malaysia</t>
  </si>
  <si>
    <t>IAS/CI/049/2024-2025</t>
  </si>
  <si>
    <t>MEDUKD848</t>
  </si>
  <si>
    <t>IAS/CI/050/2024-2025</t>
  </si>
  <si>
    <t>MUN500200</t>
  </si>
  <si>
    <t>ONE Global</t>
  </si>
  <si>
    <t>IAS/CI/051/2024-2025</t>
  </si>
  <si>
    <t>IAS/PI/023//2024-2025</t>
  </si>
  <si>
    <t>MSC Ocean Pearl</t>
  </si>
  <si>
    <t>IAS/CI/057/2024-2025</t>
  </si>
  <si>
    <t>MUN057048</t>
  </si>
  <si>
    <t>IAS/CI/061/2024-2025</t>
  </si>
  <si>
    <t>MEDUKD976</t>
  </si>
  <si>
    <t>IAS/CI/063/2024-2025</t>
  </si>
  <si>
    <t>IAS/PI/024//2024-2025</t>
  </si>
  <si>
    <t>EID090486</t>
  </si>
  <si>
    <t>IAS/CI/066/2024-2025</t>
  </si>
  <si>
    <t>IAS/PI/036//2024-2025</t>
  </si>
  <si>
    <t>MAEU26165</t>
  </si>
  <si>
    <t>IAS/CI/069/2024-2025</t>
  </si>
  <si>
    <t>MEDUKD988</t>
  </si>
  <si>
    <t>IAS/CI/071/2024-2025</t>
  </si>
  <si>
    <t>IAS/PI/025//2024-2025</t>
  </si>
  <si>
    <t>MEDUP4015</t>
  </si>
  <si>
    <t>IAS/CI/052/2024-2025</t>
  </si>
  <si>
    <t>IAS/PI/021/2024-2025</t>
  </si>
  <si>
    <t>Durban, South Africa</t>
  </si>
  <si>
    <t>IAS/CI/053/2024-2025</t>
  </si>
  <si>
    <t>IAS/PI/020//2024-2025</t>
  </si>
  <si>
    <t>VANIND113</t>
  </si>
  <si>
    <t>IAS/CI/054/2024-2025</t>
  </si>
  <si>
    <t>IAS/PI/26/2024-2025</t>
  </si>
  <si>
    <t>BLSMUNM56</t>
  </si>
  <si>
    <t>IAS/CI/055/2024-2025</t>
  </si>
  <si>
    <t>IAS/PI/018//2024-2025</t>
  </si>
  <si>
    <t xml:space="preserve">MUN/2024 </t>
  </si>
  <si>
    <t>IAS/CI/058/2024-2025</t>
  </si>
  <si>
    <t>IAS/PI/28/2024-2025</t>
  </si>
  <si>
    <t>AVY013002</t>
  </si>
  <si>
    <t>IAS/CI/059/2024-2025</t>
  </si>
  <si>
    <t>IAS/PI/028/2024-2025</t>
  </si>
  <si>
    <t>MAEU26237</t>
  </si>
  <si>
    <t>IAS/CI/060/2024-2025</t>
  </si>
  <si>
    <t>IAS/PI/033/2024-2025</t>
  </si>
  <si>
    <t>Pacific Grain Traders Inc.</t>
  </si>
  <si>
    <t>EMIVIND84</t>
  </si>
  <si>
    <t>IAS/CI/062/2024-2025</t>
  </si>
  <si>
    <t>IAS/PI/027//2024-2025</t>
  </si>
  <si>
    <t>051EA1406</t>
  </si>
  <si>
    <t>IAS/CI/064/2024-2025</t>
  </si>
  <si>
    <t>MEDUFX909</t>
  </si>
  <si>
    <t>UAE</t>
  </si>
  <si>
    <t>IAS/CI/065/2024-2025</t>
  </si>
  <si>
    <t>IAS/PI/032/2024-2025</t>
  </si>
  <si>
    <t>MEDUFX944</t>
  </si>
  <si>
    <t>IAS/CI/068/2024-2025</t>
  </si>
  <si>
    <t>IAS/PI/002//2024-2025</t>
  </si>
  <si>
    <t>VANIND007</t>
  </si>
  <si>
    <t>IAS/CI/067/2024-2025</t>
  </si>
  <si>
    <t>IAS/PI/038//2024-2025</t>
  </si>
  <si>
    <t>Global Foods Importers Ltd</t>
  </si>
  <si>
    <t>AVY013072</t>
  </si>
  <si>
    <t>IAS/CI/077/2024-2025</t>
  </si>
  <si>
    <t>IAS/PI/31//2024-2025</t>
  </si>
  <si>
    <t>IAS/CI/078/2024-2025</t>
  </si>
  <si>
    <t>VANMUN111</t>
  </si>
  <si>
    <t>IAS/CI/079/2024-2025</t>
  </si>
  <si>
    <t>FRLMUNJ26</t>
  </si>
  <si>
    <t>IAS/CI/080/2024-2025</t>
  </si>
  <si>
    <t>IAS/PI/029//2024-2025</t>
  </si>
  <si>
    <t>IAS/CI/081/2024-2025</t>
  </si>
  <si>
    <t>IAS/PI/30//2024-2025</t>
  </si>
  <si>
    <t>189GX0053</t>
  </si>
  <si>
    <t>IAS/CI/082/2024-2025</t>
  </si>
  <si>
    <t>OSLMUNP26</t>
  </si>
  <si>
    <t>IAS/CI/083/2024-2025</t>
  </si>
  <si>
    <t>IAS/PI/39//2024-2025</t>
  </si>
  <si>
    <t>BAXISM026</t>
  </si>
  <si>
    <t>IAS/CI/084/2024-2025</t>
  </si>
  <si>
    <t>MUN/20234</t>
  </si>
  <si>
    <t>IAS/CI/085/2024-2025</t>
  </si>
  <si>
    <t>IAS/PI/40//2024-2025</t>
  </si>
  <si>
    <t>OSLMUNJ26</t>
  </si>
  <si>
    <t>IAS/CI/086/2024-2025</t>
  </si>
  <si>
    <t>IAS/CI/088/2024-2025</t>
  </si>
  <si>
    <t>VANIND05A</t>
  </si>
  <si>
    <t>IAS/CI/089/2024-2025</t>
  </si>
  <si>
    <t>IAS/PI/039//2024-2025</t>
  </si>
  <si>
    <t>VANIND05B</t>
  </si>
  <si>
    <t>IAS/CI/090/2024-2025</t>
  </si>
  <si>
    <t>VANIND05C</t>
  </si>
  <si>
    <t>IAS/CI/091/2024-2025</t>
  </si>
  <si>
    <t>VANIND05D</t>
  </si>
  <si>
    <t>IAS/CI/092/2024-2025</t>
  </si>
  <si>
    <t>IAS/PI/043//2024-2025</t>
  </si>
  <si>
    <t>VANIND23A</t>
  </si>
  <si>
    <t>IAS/CI/093/2024-2025</t>
  </si>
  <si>
    <t>VANIND23B</t>
  </si>
  <si>
    <t>IAS/CI/151/2024-2025</t>
  </si>
  <si>
    <t>IAS/PI/042/2024-2025</t>
  </si>
  <si>
    <t>NDS-252/2024-2025</t>
  </si>
  <si>
    <t>IAS/CI/094/2024-2025</t>
  </si>
  <si>
    <t>ASLSDPZ01</t>
  </si>
  <si>
    <t>IAS/CI/096/2024-2025</t>
  </si>
  <si>
    <t>NDS-742/2024-2025</t>
  </si>
  <si>
    <t>CAEPZU200</t>
  </si>
  <si>
    <t>IAS/CI/097/2024-2025</t>
  </si>
  <si>
    <t>IAS/CI/098/2024-2025</t>
  </si>
  <si>
    <t>IAS/PI/042//2024-2025</t>
  </si>
  <si>
    <t>COSU64430</t>
  </si>
  <si>
    <t>IAS/CI/099/2024-2025</t>
  </si>
  <si>
    <t>SHMUNPZ66</t>
  </si>
  <si>
    <t>IAS/CI/102/2024-2025</t>
  </si>
  <si>
    <t>IAS/PI/9144988//2024-2025</t>
  </si>
  <si>
    <t>EID093378</t>
  </si>
  <si>
    <t>IAS/CI/103/2024-2025</t>
  </si>
  <si>
    <t>IAS/PI/112/2024-2025</t>
  </si>
  <si>
    <t>VANMUN023</t>
  </si>
  <si>
    <t>IAS/CI/106/2024-2025</t>
  </si>
  <si>
    <t>IAS/PI/CI//2024-2025</t>
  </si>
  <si>
    <t>VANMUN03A</t>
  </si>
  <si>
    <t>IAS/CI/107/2024-2025</t>
  </si>
  <si>
    <t>IAS/PI/019//2024-2025</t>
  </si>
  <si>
    <t>VANMUN03B</t>
  </si>
  <si>
    <t>IAS/CI/108/2024-2025</t>
  </si>
  <si>
    <t>VANMUN03C</t>
  </si>
  <si>
    <t>IAS/CI/109/2024-2025</t>
  </si>
  <si>
    <t>IAS/PI/26208//2024-2025</t>
  </si>
  <si>
    <t>RYL-2141-2024-2024</t>
  </si>
  <si>
    <t>Red Lentils</t>
  </si>
  <si>
    <t>Royal Agro Trading Co.</t>
  </si>
  <si>
    <t>EMIVIND36</t>
  </si>
  <si>
    <t>MSC Northern Star</t>
  </si>
  <si>
    <t>Vancouver, Canada</t>
  </si>
  <si>
    <t>IAS/CI/110/2024-2025</t>
  </si>
  <si>
    <t>IAS/PI/AGE/2024-2025</t>
  </si>
  <si>
    <t>BB0101</t>
  </si>
  <si>
    <t>IAS/CI/111/2024-2025</t>
  </si>
  <si>
    <t>IAS/PI/223/2024-2025</t>
  </si>
  <si>
    <t>DJ01- MAL</t>
  </si>
  <si>
    <t>IAS/CI/112/2024-2025</t>
  </si>
  <si>
    <t>IAS/PI/070/2024-2025</t>
  </si>
  <si>
    <t>DJ0303</t>
  </si>
  <si>
    <t>IAS/CI/113/2024-2025</t>
  </si>
  <si>
    <t>IAS/PI/2024-2025</t>
  </si>
  <si>
    <t>VANIND004</t>
  </si>
  <si>
    <t>IAS/CI/114/2024-2025</t>
  </si>
  <si>
    <t>IAS/PI/061/2024-2025</t>
  </si>
  <si>
    <t>MEDUXO332</t>
  </si>
  <si>
    <t>IAS/CI/115/2024-2025</t>
  </si>
  <si>
    <t>MEDUX0600</t>
  </si>
  <si>
    <t>IAS/CI/116/2024-2025</t>
  </si>
  <si>
    <t>IAS/PI/045/2024-2025</t>
  </si>
  <si>
    <t>MEDUXO630</t>
  </si>
  <si>
    <t>IAS/CI/117/2024-2025</t>
  </si>
  <si>
    <t>IAS/PI/0741/2024-2025</t>
  </si>
  <si>
    <t>MEDUXO137</t>
  </si>
  <si>
    <t>IAS/CI/118/2024-2025</t>
  </si>
  <si>
    <t>MEDUXO144</t>
  </si>
  <si>
    <t>IAS/CI/122/2024-2025</t>
  </si>
  <si>
    <t>EID093913</t>
  </si>
  <si>
    <t>IAS/CI/123/2024-2025</t>
  </si>
  <si>
    <t>MAEU26928</t>
  </si>
  <si>
    <t>IAS/CI/124/2024-2025</t>
  </si>
  <si>
    <t>COSU64480</t>
  </si>
  <si>
    <t>IAS/CI/125/2024-2025</t>
  </si>
  <si>
    <t>BB0303</t>
  </si>
  <si>
    <t>IAS/CI/126/2024-2025</t>
  </si>
  <si>
    <t>DJ01-MVER</t>
  </si>
  <si>
    <t>IAS/CI/127/2024-2025</t>
  </si>
  <si>
    <t>MUN/20205</t>
  </si>
  <si>
    <t>IAS/CI/128/2024-2025</t>
  </si>
  <si>
    <t>IAS/CI/129/2024-2025</t>
  </si>
  <si>
    <t>DJ0404</t>
  </si>
  <si>
    <t>IAS/CI/095/2024-2025</t>
  </si>
  <si>
    <t>IAS/PI/049//2024-2025</t>
  </si>
  <si>
    <t>MEDUJ7686</t>
  </si>
  <si>
    <t>IAS/CI/100/2024-2025</t>
  </si>
  <si>
    <t>VCRMSIN15</t>
  </si>
  <si>
    <t>IAS/CI/101/2024-2025</t>
  </si>
  <si>
    <t>IAS/PI/02B//2024-2025</t>
  </si>
  <si>
    <t>GVS/74/2024-2025</t>
  </si>
  <si>
    <t>VCRMSIN16</t>
  </si>
  <si>
    <t>IAS/CI/104/2024-2025</t>
  </si>
  <si>
    <t>IAS/PI/095//2024-2025</t>
  </si>
  <si>
    <t>1121 Golden Basmati</t>
  </si>
  <si>
    <t>VCRMSIN18</t>
  </si>
  <si>
    <t>IAS/CI/105/2024-2025</t>
  </si>
  <si>
    <t>IAS/PI/62B//2024-2025</t>
  </si>
  <si>
    <t>KDL0101</t>
  </si>
  <si>
    <t>IAS/CI/119/2024-2025</t>
  </si>
  <si>
    <t>IAS/PI/09/2024-2025</t>
  </si>
  <si>
    <t>IAS/CI/120/2024-2025</t>
  </si>
  <si>
    <t>IAS/PI/097/2024-2025</t>
  </si>
  <si>
    <t>EID096078</t>
  </si>
  <si>
    <t>IAS/CI/101/2025-2026</t>
  </si>
  <si>
    <t>IAS/PI//050/2025</t>
  </si>
  <si>
    <t>0062B/PTJCI/2024</t>
  </si>
  <si>
    <t>UN500100</t>
  </si>
  <si>
    <t>MSC Indonesia Star</t>
  </si>
  <si>
    <t>Jakarta, Indonesia</t>
  </si>
  <si>
    <t>IAS/CI/112/2025-2026</t>
  </si>
  <si>
    <t>IAS/PI//059/2025</t>
  </si>
  <si>
    <t>JKM2025/2025</t>
  </si>
  <si>
    <t>LXUMUNMU</t>
  </si>
  <si>
    <t>IAS/CI/22/2025-2026</t>
  </si>
  <si>
    <t>IAS/PI//013/2025</t>
  </si>
  <si>
    <t>ESI/3565</t>
  </si>
  <si>
    <t>MUN/JE/J01</t>
  </si>
  <si>
    <t>IAS/CI/18/2025-2026</t>
  </si>
  <si>
    <t>IAS/PI//015/2025</t>
  </si>
  <si>
    <t>NDL71982025</t>
  </si>
  <si>
    <t>OSU64264</t>
  </si>
  <si>
    <t>IAS/CI/35/2025-2026</t>
  </si>
  <si>
    <t>NDL2025</t>
  </si>
  <si>
    <t>SLMUN2UN</t>
  </si>
  <si>
    <t>IAS/CI/36/2025-2026</t>
  </si>
  <si>
    <t>IAS/PI//036/2025</t>
  </si>
  <si>
    <t>IAS/CI/37/2025-2026</t>
  </si>
  <si>
    <t>IAS/PI//014/2025</t>
  </si>
  <si>
    <t>ID087887</t>
  </si>
  <si>
    <t>IAS/CI/38/2025-2026</t>
  </si>
  <si>
    <t>IAS/PI//042/2025</t>
  </si>
  <si>
    <t>EDUOO4OO</t>
  </si>
  <si>
    <t>IAS/CI/47/2025-2026</t>
  </si>
  <si>
    <t>IAS/PI//037/2025</t>
  </si>
  <si>
    <t>MC240840</t>
  </si>
  <si>
    <t>IAS/CI/48/2025-2026</t>
  </si>
  <si>
    <t>IAS/PI//016/2025</t>
  </si>
  <si>
    <t>IAS/CI/50/2025-2026</t>
  </si>
  <si>
    <t>IAS/CI/1/2025-2026</t>
  </si>
  <si>
    <t>IAS/PI//018/2025</t>
  </si>
  <si>
    <t>Atlas Commodities GmbH</t>
  </si>
  <si>
    <t>SLKANJAN</t>
  </si>
  <si>
    <t>IAS/CI/2/2025-2026</t>
  </si>
  <si>
    <t>EDUOO5OO</t>
  </si>
  <si>
    <t>IAS/CI/3/2025-2026</t>
  </si>
  <si>
    <t>IAS/PI//020/2025</t>
  </si>
  <si>
    <t>IAS/CI/4/2025-2026</t>
  </si>
  <si>
    <t>IAS/PI//004/2025</t>
  </si>
  <si>
    <t>EDUOO6OO</t>
  </si>
  <si>
    <t>IAS/CI/5/2025-2026</t>
  </si>
  <si>
    <t>IAS/PI//006/2025</t>
  </si>
  <si>
    <t>IAS/CI/6/2025-2026</t>
  </si>
  <si>
    <t>IAS/PI//005/2025</t>
  </si>
  <si>
    <t>AEU25625</t>
  </si>
  <si>
    <t>IAS/CI/9/2025-2026</t>
  </si>
  <si>
    <t>IAS/PI//009/2025</t>
  </si>
  <si>
    <t>JKM/2025</t>
  </si>
  <si>
    <t>1718 Golden Basmati</t>
  </si>
  <si>
    <t>ID088788</t>
  </si>
  <si>
    <t>IAS/CI/10/2025-2026</t>
  </si>
  <si>
    <t>IAS/PI//011/2025</t>
  </si>
  <si>
    <t>EDUOO8OO</t>
  </si>
  <si>
    <t>IAS/CI/12/2025-2026</t>
  </si>
  <si>
    <t>IAS/PI//008/2025</t>
  </si>
  <si>
    <t>LOMUNJUN</t>
  </si>
  <si>
    <t>IAS/CI/13/2025-2026</t>
  </si>
  <si>
    <t>UN250750</t>
  </si>
  <si>
    <t>IAS/CI/14/2025-2026</t>
  </si>
  <si>
    <t>IAS/PI//002/2025</t>
  </si>
  <si>
    <t>IAS/CI/15/2025-2026</t>
  </si>
  <si>
    <t>EDUOO9OO</t>
  </si>
  <si>
    <t>IAS/CI/16/2025-2026</t>
  </si>
  <si>
    <t>IAS/CI/17/2025-2026</t>
  </si>
  <si>
    <t>KKNVS2VS</t>
  </si>
  <si>
    <t>IAS/CI/19/2025-2026</t>
  </si>
  <si>
    <t>IAS/PI//007/2025</t>
  </si>
  <si>
    <t>JKM5-26/2025</t>
  </si>
  <si>
    <t>UN250850</t>
  </si>
  <si>
    <t>IAS/CI/20/2025-2026</t>
  </si>
  <si>
    <t>LCUMA3MA</t>
  </si>
  <si>
    <t>IAS/CI/21/2025-2026</t>
  </si>
  <si>
    <t>IAS/PI//003/2025</t>
  </si>
  <si>
    <t>IAS/CI/23/2025-2026</t>
  </si>
  <si>
    <t>IAS/PI//033/2025</t>
  </si>
  <si>
    <t>MAMUNAUN</t>
  </si>
  <si>
    <t>Colombo, Sri Lanka</t>
  </si>
  <si>
    <t>IAS/CI/24/2025-2026</t>
  </si>
  <si>
    <t>AEU25725</t>
  </si>
  <si>
    <t>IAS/CI/25/2025-2026</t>
  </si>
  <si>
    <t>EDUKD1KD</t>
  </si>
  <si>
    <t>IAS/CI/27/2025-2026</t>
  </si>
  <si>
    <t>EDUKD2KD</t>
  </si>
  <si>
    <t>IAS/CI/28/2025-2026</t>
  </si>
  <si>
    <t>IAS/PI//10/2025</t>
  </si>
  <si>
    <t>IAS/CI/29/2025-2026</t>
  </si>
  <si>
    <t>IAS/PI//024/2025</t>
  </si>
  <si>
    <t>LSNSBTSB</t>
  </si>
  <si>
    <t>IAS/CI/30/2025-2026</t>
  </si>
  <si>
    <t>IAS/PI//022/2025</t>
  </si>
  <si>
    <t>IAS/CI/31/2025-2026</t>
  </si>
  <si>
    <t>AEU25825</t>
  </si>
  <si>
    <t>IAS/CI/32/2025-2026</t>
  </si>
  <si>
    <t>IAS/CI/40/2025-2026</t>
  </si>
  <si>
    <t>IAS/PI//034/2025</t>
  </si>
  <si>
    <t>LCUMI3MA</t>
  </si>
  <si>
    <t>IAS/CI/42/2025-2026</t>
  </si>
  <si>
    <t>IAS/PI//039/2025</t>
  </si>
  <si>
    <t>IAS/CI/43/2025-2026</t>
  </si>
  <si>
    <t>IAS/CI/44/2025-2026</t>
  </si>
  <si>
    <t>IAS/PI//026/2025</t>
  </si>
  <si>
    <t>HIXYPZYP</t>
  </si>
  <si>
    <t>IAS/CI/45/2025-2026</t>
  </si>
  <si>
    <t>IAS/PI//030/2025</t>
  </si>
  <si>
    <t>EDUKD3KD</t>
  </si>
  <si>
    <t>IAS/CI/46/2025-2026</t>
  </si>
  <si>
    <t>NDL5-262025</t>
  </si>
  <si>
    <t>IAS/CI/49/2025-2026</t>
  </si>
  <si>
    <t>IAS/CI/41/2025-2026</t>
  </si>
  <si>
    <t>IAS/PI//028/2025</t>
  </si>
  <si>
    <t>NDL20252025</t>
  </si>
  <si>
    <t>U5087287</t>
  </si>
  <si>
    <t>IAS/CI/7/2025-2026</t>
  </si>
  <si>
    <t>IAS/PI//019/2025</t>
  </si>
  <si>
    <t>AE/PRO/001/24-25</t>
  </si>
  <si>
    <t>AEU25925</t>
  </si>
  <si>
    <t>IAS/CI/8/2025-2026</t>
  </si>
  <si>
    <t>IAS/CI/11/2025-2026</t>
  </si>
  <si>
    <t>IAS/PI//017/2025</t>
  </si>
  <si>
    <t>ASE/7189CSL/2025</t>
  </si>
  <si>
    <t>Al Noor Trading LLC</t>
  </si>
  <si>
    <t>IAS/CI/26/2025-2026</t>
  </si>
  <si>
    <t>IAS/PI//012/2025</t>
  </si>
  <si>
    <t>ASE/CSL/2025</t>
  </si>
  <si>
    <t>EDUKD8KD</t>
  </si>
  <si>
    <t>IAS/CI/33/2025-2026</t>
  </si>
  <si>
    <t>IAS/PI//046/2025</t>
  </si>
  <si>
    <t>UN500200</t>
  </si>
  <si>
    <t>MSC Karachi Star</t>
  </si>
  <si>
    <t>Karachi, Pakistan</t>
  </si>
  <si>
    <t>IAS/CI/34/2025-2026</t>
  </si>
  <si>
    <t>IAS/PI//044/2025</t>
  </si>
  <si>
    <t>ASE/5-26CSL/2025</t>
  </si>
  <si>
    <t>IAS/CI/39/2025-2026</t>
  </si>
  <si>
    <t>IAS/PI//045/2025</t>
  </si>
  <si>
    <t>UN057057</t>
  </si>
  <si>
    <t>IAS/CI/58/2025-2026</t>
  </si>
  <si>
    <t>EDUKD9KD</t>
  </si>
  <si>
    <t>IAS/CI/52/2025-2026</t>
  </si>
  <si>
    <t>ID090490</t>
  </si>
  <si>
    <t>IAS/CI/62/2025-2026</t>
  </si>
  <si>
    <t>ASE/-074CSL/2025</t>
  </si>
  <si>
    <t>AEU26126</t>
  </si>
  <si>
    <t>IAS/CI/65/2025-2026</t>
  </si>
  <si>
    <t>IAS/PI//038/2025</t>
  </si>
  <si>
    <t>ASE/0440CSL/2025</t>
  </si>
  <si>
    <t>IAS/CI/64/2025-2026</t>
  </si>
  <si>
    <t>IAS/PI//047/2025</t>
  </si>
  <si>
    <t>EDUP40P4</t>
  </si>
  <si>
    <t>IAS/CI/73/2025-2026</t>
  </si>
  <si>
    <t>IAS/CI/92/2025-2026</t>
  </si>
  <si>
    <t>IAS/PI//052/2025</t>
  </si>
  <si>
    <t>ANIND1ND</t>
  </si>
  <si>
    <t>IAS/CI/102/2025-2026</t>
  </si>
  <si>
    <t>IAS/PI//065/2025</t>
  </si>
  <si>
    <t>ESI/0328</t>
  </si>
  <si>
    <t>LSMUNMUN</t>
  </si>
  <si>
    <t>IAS/CI/105/2025-2026</t>
  </si>
  <si>
    <t>UN/20220</t>
  </si>
  <si>
    <t>IAS/CI/106/2025-2026</t>
  </si>
  <si>
    <t>IAS/CI/51/2025-2026</t>
  </si>
  <si>
    <t>AEU26226</t>
  </si>
  <si>
    <t>IAS/CI/59/2025-2026</t>
  </si>
  <si>
    <t>IAS/PI//035/2025</t>
  </si>
  <si>
    <t>MIVINDIN</t>
  </si>
  <si>
    <t>IAS/CI/60/2025-2026</t>
  </si>
  <si>
    <t>IAS/PI//031/2025</t>
  </si>
  <si>
    <t>51EA14A1</t>
  </si>
  <si>
    <t>IAS/CI/61/2025-2026</t>
  </si>
  <si>
    <t>IAS/PI//021/2025</t>
  </si>
  <si>
    <t>EDUFX9FX</t>
  </si>
  <si>
    <t>IAS/CI/63/2025-2026</t>
  </si>
  <si>
    <t>IAS/PI//023/2025</t>
  </si>
  <si>
    <t>IAS/CI/66/2025-2026</t>
  </si>
  <si>
    <t>IAS/PI//029/2025</t>
  </si>
  <si>
    <t>ANIND0ND</t>
  </si>
  <si>
    <t>IAS/CI/67/2025-2026</t>
  </si>
  <si>
    <t>IAS/PI//032/2025</t>
  </si>
  <si>
    <t>SLMUNPUN</t>
  </si>
  <si>
    <t>IAS/CI/68/2025-2026</t>
  </si>
  <si>
    <t>IAS/PI//025/2025</t>
  </si>
  <si>
    <t>IAS/CI/69/2025-2026</t>
  </si>
  <si>
    <t>IAS/CI/72/2025-2026</t>
  </si>
  <si>
    <t>IAS/PI//027/2025</t>
  </si>
  <si>
    <t>IAS/CI/75/2025-2026</t>
  </si>
  <si>
    <t>IAS/CI/77/2025-2026</t>
  </si>
  <si>
    <t>IAS/PI//058/2025</t>
  </si>
  <si>
    <t>IAS/CI/78/2025-2026</t>
  </si>
  <si>
    <t>ANMUN1UN</t>
  </si>
  <si>
    <t>IAS/CI/81/2025-2026</t>
  </si>
  <si>
    <t>RLMUNJUN</t>
  </si>
  <si>
    <t>MSC East Asia</t>
  </si>
  <si>
    <t>IAS/CI/82/2025-2026</t>
  </si>
  <si>
    <t>IAS/CI/85/2025-2026</t>
  </si>
  <si>
    <t>89GX00X0</t>
  </si>
  <si>
    <t>MSC Bali Pearl</t>
  </si>
  <si>
    <t>IAS/CI/86/2025-2026</t>
  </si>
  <si>
    <t>IAS/CI/89/2025-2026</t>
  </si>
  <si>
    <t>AXISM0SM</t>
  </si>
  <si>
    <t>IAS/CI/91/2025-2026</t>
  </si>
  <si>
    <t>IAS/CI/94/2025-2026</t>
  </si>
  <si>
    <t>IAS/PI//063/2025</t>
  </si>
  <si>
    <t>SLMUNJUN</t>
  </si>
  <si>
    <t>IAS/CI/97/2025-2026</t>
  </si>
  <si>
    <t>IAS/CI/55/2025-2026</t>
  </si>
  <si>
    <t>IAS/PI//043/2025</t>
  </si>
  <si>
    <t>IAS/CI/80/2025-2026</t>
  </si>
  <si>
    <t>IAS/PI//60/2025</t>
  </si>
  <si>
    <t>IAS/CI/104/2025-2026</t>
  </si>
  <si>
    <t>IAS/PI//066/2025</t>
  </si>
  <si>
    <t>IAS/CI/54/2025-2026</t>
  </si>
  <si>
    <t>IAS/PI//049/2025</t>
  </si>
  <si>
    <t>5-26GSS//2025</t>
  </si>
  <si>
    <t>IAS/CI/56/2025-2026</t>
  </si>
  <si>
    <t>IAS/PI//048/2025</t>
  </si>
  <si>
    <t>ESI/3623</t>
  </si>
  <si>
    <t>ANIND2ND</t>
  </si>
  <si>
    <t>IAS/CI/57/2025-2026</t>
  </si>
  <si>
    <t>IAS/PI//053/2025</t>
  </si>
  <si>
    <t>IAS/CI/70/2025-2026</t>
  </si>
  <si>
    <t>IAS/PI//051/2025</t>
  </si>
  <si>
    <t>AE/PRO/007/25-26</t>
  </si>
  <si>
    <t>IAS/CI/71/2025-2026</t>
  </si>
  <si>
    <t>IAS/PI//054/2025</t>
  </si>
  <si>
    <t>26 ,GSS//2025</t>
  </si>
  <si>
    <t>IAS/CI/74/2025-2026</t>
  </si>
  <si>
    <t>IAS/PI//056/2025</t>
  </si>
  <si>
    <t>SLSDPZDP</t>
  </si>
  <si>
    <t>IAS/CI/83/2025-2026</t>
  </si>
  <si>
    <t>AE/PRO/011/25-26</t>
  </si>
  <si>
    <t>AEPZU2ZU</t>
  </si>
  <si>
    <t>IAS/CI/84/2025-2026</t>
  </si>
  <si>
    <t>IAS/CI/93/2025-2026</t>
  </si>
  <si>
    <t>IAS/PI//064/2025</t>
  </si>
  <si>
    <t>OSU64464</t>
  </si>
  <si>
    <t>IAS/CI/96/2025-2026</t>
  </si>
  <si>
    <t>IAS/PI//057/2025</t>
  </si>
  <si>
    <t>AE/PRO/013/25-26</t>
  </si>
  <si>
    <t>HMUNPZNP</t>
  </si>
  <si>
    <t>IAS/CI/90/2025-2026</t>
  </si>
  <si>
    <t>IAS/PI//062/2025</t>
  </si>
  <si>
    <t>AE/PRO/012/25-26</t>
  </si>
  <si>
    <t>ID093393</t>
  </si>
  <si>
    <t>IAS/CI/100/2025-2026</t>
  </si>
  <si>
    <t>IAS/PI//070/2025</t>
  </si>
  <si>
    <t>ANMUN0UN</t>
  </si>
  <si>
    <t>IAS/CI/87/2025-2026</t>
  </si>
  <si>
    <t>IAS/CI/109/2025-2026</t>
  </si>
  <si>
    <t>IAS/PI//061/2025</t>
  </si>
  <si>
    <t>IAS/CI/79/2025-2026</t>
  </si>
  <si>
    <t>IAS/CI/135/2025-2026</t>
  </si>
  <si>
    <t>IAS/PI//088/2025</t>
  </si>
  <si>
    <t>IAS/CI/144/2025-2026</t>
  </si>
  <si>
    <t>IAS/PI//084/2025</t>
  </si>
  <si>
    <t>NDL4-252025</t>
  </si>
  <si>
    <t>Cloves /Indonesia</t>
  </si>
  <si>
    <t>B010101</t>
  </si>
  <si>
    <t>IAS/CI/145/2025-2026</t>
  </si>
  <si>
    <t xml:space="preserve">J01- M- </t>
  </si>
  <si>
    <t>IAS/CI/108/2025-2026</t>
  </si>
  <si>
    <t>IAS/PI//067/2025</t>
  </si>
  <si>
    <t>J030303</t>
  </si>
  <si>
    <t>IAS/CI/116/2025-2026</t>
  </si>
  <si>
    <t>NDL03742025</t>
  </si>
  <si>
    <t>IAS/CI/117/2025-2026</t>
  </si>
  <si>
    <t>IAS/PI//069/2025</t>
  </si>
  <si>
    <t>EDUXO3XO</t>
  </si>
  <si>
    <t>IAS/CI/124/2025-2026</t>
  </si>
  <si>
    <t>EDUXO6XO</t>
  </si>
  <si>
    <t>IAS/CI/125/2025-2026</t>
  </si>
  <si>
    <t>IAS/CI/139/2025-2026</t>
  </si>
  <si>
    <t>IAS/PI//090/2025</t>
  </si>
  <si>
    <t>IAS/CI/107/2025-2026</t>
  </si>
  <si>
    <t>ID093993</t>
  </si>
  <si>
    <t>IAS/CI/115/2025-2026</t>
  </si>
  <si>
    <t>IAS/PI//076/2025</t>
  </si>
  <si>
    <t>AE/PRO/020/25-26</t>
  </si>
  <si>
    <t>AEU26926</t>
  </si>
  <si>
    <t>IAS/CI/110/2025-2026</t>
  </si>
  <si>
    <t>IAS/PI//078/2025</t>
  </si>
  <si>
    <t>AE/PRO/021/25-26</t>
  </si>
  <si>
    <t>IAS/CI/114/2025-2026</t>
  </si>
  <si>
    <t>B030303</t>
  </si>
  <si>
    <t>IAS/CI/118/2025-2026</t>
  </si>
  <si>
    <t>IAS/PI//073/2025</t>
  </si>
  <si>
    <t>J01-MV-M</t>
  </si>
  <si>
    <t>IAS/CI/123/2025-2026</t>
  </si>
  <si>
    <t>IAS/PI//079/2025</t>
  </si>
  <si>
    <t>AE/PRO/022/25-26</t>
  </si>
  <si>
    <t>IAS/CI/127/2025-2026</t>
  </si>
  <si>
    <t>IAS/CI/142/2025-2026</t>
  </si>
  <si>
    <t>IAS/PI//080/2025</t>
  </si>
  <si>
    <t>AE/PRO/023/25-26</t>
  </si>
  <si>
    <t>EDUJ76J7</t>
  </si>
  <si>
    <t>IAS/CI/155/2025-2026</t>
  </si>
  <si>
    <t>IAS/PI//093/2025</t>
  </si>
  <si>
    <t>IAS/CI/128/2025-2026</t>
  </si>
  <si>
    <t>IAS/PI//077/2025</t>
  </si>
  <si>
    <t>AGS/25/09/27793</t>
  </si>
  <si>
    <t>Canadian Red Lentils</t>
  </si>
  <si>
    <t>CRMSINSI</t>
  </si>
  <si>
    <t>COSCO Indian Star</t>
  </si>
  <si>
    <t>IAS/CI/151/2025-2026</t>
  </si>
  <si>
    <t>IAS/PI//085/2025</t>
  </si>
  <si>
    <t>AGS/25/10/28284</t>
  </si>
  <si>
    <t>IAS/CI/137/2025-2026</t>
  </si>
  <si>
    <t>IAS/PI//087/2025</t>
  </si>
  <si>
    <t>MDS/080/11/2025</t>
  </si>
  <si>
    <t>MSC Ocean Star</t>
  </si>
  <si>
    <t>Kandla, India</t>
  </si>
  <si>
    <t>IAS/CI/143/2025-2026</t>
  </si>
  <si>
    <t>MDS/091/11/2025</t>
  </si>
  <si>
    <t>DL010110</t>
  </si>
  <si>
    <t>IAS/CI/152/2025-2026</t>
  </si>
  <si>
    <t>IAS/CI/001/2026-2027</t>
  </si>
  <si>
    <t>ESI/0374</t>
  </si>
  <si>
    <t>Eastern Star Trading FZE</t>
  </si>
  <si>
    <t>MUN100U01</t>
  </si>
  <si>
    <t>IAS/CI/002/2026-2027</t>
  </si>
  <si>
    <t>IAS/PI//096/2025</t>
  </si>
  <si>
    <t>ESI/0386</t>
  </si>
  <si>
    <t>ALXN20LUN</t>
  </si>
  <si>
    <t>IAS/CI/003/2026-2027</t>
  </si>
  <si>
    <t>IAS/PI//002/2026</t>
  </si>
  <si>
    <t>ESI/0410</t>
  </si>
  <si>
    <t xml:space="preserve"> MUE62MJE</t>
  </si>
  <si>
    <t>IAS/CI/004/2026-2027</t>
  </si>
  <si>
    <t>IAS/PI//094/2026</t>
  </si>
  <si>
    <t>ESI/0382</t>
  </si>
  <si>
    <t>COS240O42</t>
  </si>
  <si>
    <t>IAS/CI/005/2026-2027</t>
  </si>
  <si>
    <t>ESI/0420</t>
  </si>
  <si>
    <t>ASL244SN2</t>
  </si>
  <si>
    <t>IAS/CI/006/2026-2027</t>
  </si>
  <si>
    <t>ESI/0419</t>
  </si>
  <si>
    <t>COS250O42</t>
  </si>
  <si>
    <t>IAS/CI/007/2026-2027</t>
  </si>
  <si>
    <t>EID854I78</t>
  </si>
  <si>
    <t>IAS/CI/008/2026-2027</t>
  </si>
  <si>
    <t>IAS/PI//091/2026</t>
  </si>
  <si>
    <t>GVS/241/25-26</t>
  </si>
  <si>
    <t>Golden Port Services Ltd</t>
  </si>
  <si>
    <t>MED407EO4</t>
  </si>
  <si>
    <t>IAS/CI/009/2026-2027</t>
  </si>
  <si>
    <t>IAS/PI//037/2026</t>
  </si>
  <si>
    <t>GVS/037/2026</t>
  </si>
  <si>
    <t>AMC81AM08</t>
  </si>
  <si>
    <t>IAS/CI/010/2026-2027</t>
  </si>
  <si>
    <t>IAS/PI//001/2026</t>
  </si>
  <si>
    <t>GVS/025/25-26</t>
  </si>
  <si>
    <t>COS251O42</t>
  </si>
  <si>
    <t>IAS/CI/011/2026-2027</t>
  </si>
  <si>
    <t>MED455EO4</t>
  </si>
  <si>
    <t>IAS/CI/012/2026-2027</t>
  </si>
  <si>
    <t>IAS/PI//093/2026</t>
  </si>
  <si>
    <t>GVS/024/25-26</t>
  </si>
  <si>
    <t>JSLJ17SNJ</t>
  </si>
  <si>
    <t>Mombasa, Kenya</t>
  </si>
  <si>
    <t>Kenya</t>
  </si>
  <si>
    <t>IAS/CI/013/2026-2027</t>
  </si>
  <si>
    <t>IAS/PI//006/2026</t>
  </si>
  <si>
    <t>GVS/026/25-26</t>
  </si>
  <si>
    <t>MED556EO5</t>
  </si>
  <si>
    <t>IAS/CI/014/2026-2027</t>
  </si>
  <si>
    <t>MED530EO5</t>
  </si>
  <si>
    <t>IAS/CI/015/2026-2027</t>
  </si>
  <si>
    <t>MED664EO6</t>
  </si>
  <si>
    <t>IAS/CI/016/2026-2027</t>
  </si>
  <si>
    <t>IAS/PI//011/2026</t>
  </si>
  <si>
    <t>GVS/029/25-26</t>
  </si>
  <si>
    <t>MED667EO6</t>
  </si>
  <si>
    <t>IAS/CI/017/2026-2027</t>
  </si>
  <si>
    <t>IAS/PI//007/2026</t>
  </si>
  <si>
    <t>GVS/027/25-26</t>
  </si>
  <si>
    <t>Fazco Trading Co. Limited</t>
  </si>
  <si>
    <t>MAE655A56</t>
  </si>
  <si>
    <t>IAS/CI/018/2026-2027</t>
  </si>
  <si>
    <t>GVS/026B/25-26</t>
  </si>
  <si>
    <t>EID760I87</t>
  </si>
  <si>
    <t>IAS/CI/019/2026-2027</t>
  </si>
  <si>
    <t>IAS/PI//092/2025</t>
  </si>
  <si>
    <t xml:space="preserve">WHI/323 </t>
  </si>
  <si>
    <t>MED807EO8</t>
  </si>
  <si>
    <t>IAS/CI/020/2026-2027</t>
  </si>
  <si>
    <t>IAS/PI//095/2025</t>
  </si>
  <si>
    <t xml:space="preserve">WHI/850 </t>
  </si>
  <si>
    <t>MLOJ43LNJ</t>
  </si>
  <si>
    <t>IAS/CI/021/2026-2027</t>
  </si>
  <si>
    <t>IAS/PI//086/2025</t>
  </si>
  <si>
    <t>GLS/0014/2025</t>
  </si>
  <si>
    <t>MUN734U07</t>
  </si>
  <si>
    <t>IAS/CI/022/2026-2027</t>
  </si>
  <si>
    <t>WHI/0027</t>
  </si>
  <si>
    <t>MAE682A56</t>
  </si>
  <si>
    <t>IAS/CI/023/2026-2027</t>
  </si>
  <si>
    <t>MED930EO9</t>
  </si>
  <si>
    <t>IAS/CI/024/2026-2027</t>
  </si>
  <si>
    <t>MED902EO9</t>
  </si>
  <si>
    <t>IAS/CI/025/2026-2027</t>
  </si>
  <si>
    <t>AKK267KS2</t>
  </si>
  <si>
    <t>IAS/CI/026/2026-2027</t>
  </si>
  <si>
    <t>GSS/01186</t>
  </si>
  <si>
    <t>MUN843U08</t>
  </si>
  <si>
    <t>IAS/CI/027/2026-2027</t>
  </si>
  <si>
    <t>HLC307LA3</t>
  </si>
  <si>
    <t>IAS/CI/028/2026-2027</t>
  </si>
  <si>
    <t>GSS/00765</t>
  </si>
  <si>
    <t>HLC391LA3</t>
  </si>
  <si>
    <t>IAS/CI/029/2026-2027</t>
  </si>
  <si>
    <t>EMAA25MNA</t>
  </si>
  <si>
    <t>IAS/CI/030/2026-2027</t>
  </si>
  <si>
    <t>MAE748A57</t>
  </si>
  <si>
    <t>IAS/CI/031/2026-2027</t>
  </si>
  <si>
    <t>MED135ED1</t>
  </si>
  <si>
    <t>IAS/CI/032/2026-2027</t>
  </si>
  <si>
    <t>LLD/80/11/2025</t>
  </si>
  <si>
    <t>MED284ED2</t>
  </si>
  <si>
    <t>IAS/CI/033/2026-2027</t>
  </si>
  <si>
    <t>RRS/195/26</t>
  </si>
  <si>
    <t>Sunflower Oil</t>
  </si>
  <si>
    <t>ALXN11LUN</t>
  </si>
  <si>
    <t>IAS/CI/034/2026-2027</t>
  </si>
  <si>
    <t>IAS/PI//029/2026</t>
  </si>
  <si>
    <t>ESI/5/26</t>
  </si>
  <si>
    <t>SLST01LBT</t>
  </si>
  <si>
    <t>IAS/CI/035/2026-2027</t>
  </si>
  <si>
    <t>IAS/PI//030/2026</t>
  </si>
  <si>
    <t>ESI/0463</t>
  </si>
  <si>
    <t>MED185ED1</t>
  </si>
  <si>
    <t>IAS/CI/036/2026-2027</t>
  </si>
  <si>
    <t>IAS/PI//021/2026</t>
  </si>
  <si>
    <t>MAE828A58</t>
  </si>
  <si>
    <t>IAS/CI/037/2026-2027</t>
  </si>
  <si>
    <t>IAS/PI//025/2026</t>
  </si>
  <si>
    <t>ESI/0466</t>
  </si>
  <si>
    <t>HLC335LA3</t>
  </si>
  <si>
    <t>IAS/CI/038/2026-2027</t>
  </si>
  <si>
    <t>IAS/PI//014/2026</t>
  </si>
  <si>
    <t>ESI/0474</t>
  </si>
  <si>
    <t>Golden Harvest Trading Co.</t>
  </si>
  <si>
    <t>KDL1DL001</t>
  </si>
  <si>
    <t>IAS/CI/039/2026-2027</t>
  </si>
  <si>
    <t>GVS/314/25-26</t>
  </si>
  <si>
    <t>MAE872A58</t>
  </si>
  <si>
    <t>IAS/CI/040/2026-2027</t>
  </si>
  <si>
    <t>GVS/313/25-26</t>
  </si>
  <si>
    <t>MED235ED2</t>
  </si>
  <si>
    <t>IAS/CI/041/2026-2027</t>
  </si>
  <si>
    <t>IAS/PI//022/2026</t>
  </si>
  <si>
    <t>GVS/026/26-27</t>
  </si>
  <si>
    <t>Indian Basmati Rice</t>
  </si>
  <si>
    <t>SHIZ31HPZ</t>
  </si>
  <si>
    <t>IAS/CI/042/2026-2027</t>
  </si>
  <si>
    <t>IAS/PI//018/2026</t>
  </si>
  <si>
    <t>GDS/041/2025</t>
  </si>
  <si>
    <t>Pakistani Rice</t>
  </si>
  <si>
    <t>MED399ED3</t>
  </si>
  <si>
    <t>IAS/CI/043/2026-2027</t>
  </si>
  <si>
    <t>IAS/PI//017/2026</t>
  </si>
  <si>
    <t>GVS/032/25-26</t>
  </si>
  <si>
    <t>SHIZ46HPZ</t>
  </si>
  <si>
    <t>IAS/CI/044/2026-2027</t>
  </si>
  <si>
    <t>IAS/PI//008/2026</t>
  </si>
  <si>
    <t>GVS/030/25-26</t>
  </si>
  <si>
    <t>MAE867A58</t>
  </si>
  <si>
    <t>IAS/CI/045/2026-2027</t>
  </si>
  <si>
    <t>IAS/PI//009/2026</t>
  </si>
  <si>
    <t>GVS/028/25-26</t>
  </si>
  <si>
    <t>MU5225U72</t>
  </si>
  <si>
    <t>IAS/CI/046/2026-2027</t>
  </si>
  <si>
    <t>IAS/PI//089/2026</t>
  </si>
  <si>
    <t>GVS/031/25-26</t>
  </si>
  <si>
    <t>MAE973A59</t>
  </si>
  <si>
    <t>IAS/CI/047/2026-2027</t>
  </si>
  <si>
    <t>GVS/001/26-27</t>
  </si>
  <si>
    <t>MAE987A59</t>
  </si>
  <si>
    <t>IAS/CI/048/2026-2027</t>
  </si>
  <si>
    <t>IAS/PI//027/2026</t>
  </si>
  <si>
    <t>GVS/002/26-27</t>
  </si>
  <si>
    <t>Whole Masoor</t>
  </si>
  <si>
    <t>SHIZ15HPZ</t>
  </si>
  <si>
    <t>IAS/CI/049/2026-2027</t>
  </si>
  <si>
    <t>IAS/PI//028/2026</t>
  </si>
  <si>
    <t>GVS/003/26-27</t>
  </si>
  <si>
    <t>MED848ED8</t>
  </si>
  <si>
    <t>IAS/CI/050/2026-2027</t>
  </si>
  <si>
    <t>GVS/01/29188</t>
  </si>
  <si>
    <t>MUN200U02</t>
  </si>
  <si>
    <t>IAS/CI/051/2026-2027</t>
  </si>
  <si>
    <t>IAS/PI//033/2026</t>
  </si>
  <si>
    <t xml:space="preserve">SLP/0890 </t>
  </si>
  <si>
    <t>IAS/CI/052/2026-2027</t>
  </si>
  <si>
    <t>MUN048U70</t>
  </si>
  <si>
    <t>IAS/CI/053/2026-2027</t>
  </si>
  <si>
    <t>IAS/PI//034/2026</t>
  </si>
  <si>
    <t xml:space="preserve">SLP/3140 </t>
  </si>
  <si>
    <t>MED976ED9</t>
  </si>
  <si>
    <t>IAS/CI/054/2026-2027</t>
  </si>
  <si>
    <t>EID486I04</t>
  </si>
  <si>
    <t>IAS/CI/055/2026-2027</t>
  </si>
  <si>
    <t>SLP//2025</t>
  </si>
  <si>
    <t>MAE165A61</t>
  </si>
  <si>
    <t>IAS/CI/056/2026-2027</t>
  </si>
  <si>
    <t xml:space="preserve">SLP/1125 </t>
  </si>
  <si>
    <t>Sunflower</t>
  </si>
  <si>
    <t>MED988ED9</t>
  </si>
  <si>
    <t>IAS/CI/057/2026-2027</t>
  </si>
  <si>
    <t>IAS/PI//075/2026</t>
  </si>
  <si>
    <t>ESI/0473</t>
  </si>
  <si>
    <t>MED015E40</t>
  </si>
  <si>
    <t>IAS/CI/058/2026-2027</t>
  </si>
  <si>
    <t>GVS/004/2627</t>
  </si>
  <si>
    <t>SHIZ84HPZ</t>
  </si>
  <si>
    <t>IAS/CI/059/2026-2027</t>
  </si>
  <si>
    <t>GVS/005/2627</t>
  </si>
  <si>
    <t>VAN113AD1</t>
  </si>
  <si>
    <t>IAS/CI/060/2026-2027</t>
  </si>
  <si>
    <t>BLSM56LNM</t>
  </si>
  <si>
    <t>IAS/CI/061/2026-2027</t>
  </si>
  <si>
    <t>MUN24 U02</t>
  </si>
  <si>
    <t>IAS/CI/062/2026-2027</t>
  </si>
  <si>
    <t>IAS/PI//032/2026</t>
  </si>
  <si>
    <t>AVY002V30</t>
  </si>
  <si>
    <t>IAS/CI/063/2026-2027</t>
  </si>
  <si>
    <t>IAS/PI//035/2026</t>
  </si>
  <si>
    <t>GVS/005/25-26</t>
  </si>
  <si>
    <t>MAE237A62</t>
  </si>
  <si>
    <t>IAS/CI/064/2026-2027</t>
  </si>
  <si>
    <t>IAS/PI//036/2026</t>
  </si>
  <si>
    <t>GVS/006/25-26</t>
  </si>
  <si>
    <t>EMID84MND</t>
  </si>
  <si>
    <t>IAS/CI/065/2026-2027</t>
  </si>
  <si>
    <t>IAS/PI//039/2026</t>
  </si>
  <si>
    <t>GVS/007/26-27</t>
  </si>
  <si>
    <t>HA0A03003</t>
  </si>
  <si>
    <t>MUN201U02</t>
  </si>
  <si>
    <t>MIUINDIN</t>
  </si>
  <si>
    <t>VY033013</t>
  </si>
  <si>
    <t>ANEND1ND</t>
  </si>
  <si>
    <t>RLLUNJUN</t>
  </si>
  <si>
    <t>ANINL0ND</t>
  </si>
  <si>
    <t>SLKUNPUN</t>
  </si>
  <si>
    <t>EDOFX9FX</t>
  </si>
  <si>
    <t>VY0O3013</t>
  </si>
  <si>
    <t>MUN5O0200</t>
  </si>
  <si>
    <t>SLMONJUN</t>
  </si>
  <si>
    <t>OSU6O464</t>
  </si>
  <si>
    <t>EDUJ86J7</t>
  </si>
  <si>
    <t>UN/0220</t>
  </si>
  <si>
    <t>J0300303</t>
  </si>
  <si>
    <t>CRMS5NSI</t>
  </si>
  <si>
    <t>CRMS8NSI</t>
  </si>
  <si>
    <t>VY013913</t>
  </si>
  <si>
    <t>VY01I013</t>
  </si>
  <si>
    <t>ASY013072</t>
  </si>
  <si>
    <t>VY013Y13</t>
  </si>
  <si>
    <t>AIND0ND</t>
  </si>
  <si>
    <t>SLMUPUN</t>
  </si>
  <si>
    <t>ANMUNUN</t>
  </si>
  <si>
    <t>ANMU1UN</t>
  </si>
  <si>
    <t>ANMN0UN</t>
  </si>
  <si>
    <t>ANID0ND2</t>
  </si>
  <si>
    <t>EDUO1XO</t>
  </si>
  <si>
    <t>EUXO1XO</t>
  </si>
  <si>
    <t>ANI0D2ND</t>
  </si>
  <si>
    <t>RLMUNJ6N</t>
  </si>
  <si>
    <t>RLMU7JUN</t>
  </si>
  <si>
    <t>ANI000ND</t>
  </si>
  <si>
    <t>ANI730ND</t>
  </si>
  <si>
    <t>UN/20GL20</t>
  </si>
  <si>
    <t>OSLMJNJ26</t>
  </si>
  <si>
    <t>FRLMUGJ26</t>
  </si>
  <si>
    <t>VY073013</t>
  </si>
  <si>
    <t>DJ0703</t>
  </si>
  <si>
    <t>LXUMUMU</t>
  </si>
  <si>
    <t>OSO64264</t>
  </si>
  <si>
    <t>OSU64764</t>
  </si>
  <si>
    <t>EDUO24OO</t>
  </si>
  <si>
    <t>EDU555OO</t>
  </si>
  <si>
    <t>EDUOO86O</t>
  </si>
  <si>
    <t>AEU25605</t>
  </si>
  <si>
    <t>EDUI59OO</t>
  </si>
  <si>
    <t>LCU8K3MA</t>
  </si>
  <si>
    <t>LCU0A3MA</t>
  </si>
  <si>
    <t>EDDKD2KD</t>
  </si>
  <si>
    <t>EUUKD1KD</t>
  </si>
  <si>
    <t>AEU22825</t>
  </si>
  <si>
    <t>AEUG5825</t>
  </si>
  <si>
    <t>HIOYPZYP</t>
  </si>
  <si>
    <t>AEUR5925</t>
  </si>
  <si>
    <t>HIXYPTYP</t>
  </si>
  <si>
    <t>HIXYAZYP</t>
  </si>
  <si>
    <t>UN510200</t>
  </si>
  <si>
    <t>EDU4D9KD</t>
  </si>
  <si>
    <t>ANI8D1ND</t>
  </si>
  <si>
    <t>UNIO0220</t>
  </si>
  <si>
    <t>ULF00220</t>
  </si>
  <si>
    <t>FRLDSNJ26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</si>
</sst>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_(\$* #,##0.00_);_(\$* \(#,##0.00\);_(\$* \-??_);_(@_)"/>
  </numFmts>
  <fonts count="5">
    <font>
      <sz val="11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b/>
      <sz val="9"/>
      <color theme="0"/>
      <name val="Cambria"/>
      <family val="1"/>
      <charset val="1"/>
    </font>
    <font>
      <sz val="9"/>
      <color theme="1"/>
      <name val="Cambria"/>
      <family val="1"/>
      <charset val="1"/>
    </font>
    <font>
      <sz val="9"/>
      <name val="Cambria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/>
    <xf numFmtId="0" fontId="1" fillId="0" borderId="0" xfId="0" applyFont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2" fontId="3" fillId="0" borderId="1" xfId="0" applyNumberFormat="1" applyFont="1" applyFill="1" applyBorder="1" applyAlignment="1">
      <alignment horizontal="center"/>
    </xf>
    <xf numFmtId="165" fontId="4" fillId="0" borderId="1" xfId="0" applyNumberFormat="1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/>
    </xf>
  </cellXfs>
  <cellStyles count="1">
    <cellStyle name="Normal" xfId="0" builtinId="0"/>
  </cellStyles>
  <dxfs count="5"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311"/>
  <sheetViews>
    <sheetView tabSelected="1" zoomScale="160" zoomScaleNormal="160" workbookViewId="0">
      <selection activeCell="F12" sqref="F12"/>
    </sheetView>
  </sheetViews>
  <sheetFormatPr defaultColWidth="24.33203125" defaultRowHeight="12"/>
  <cols>
    <col min="1" max="1" width="10.6640625" style="1" customWidth="1"/>
    <col min="2" max="2" width="19.44140625" style="1" bestFit="1" customWidth="1"/>
    <col min="3" max="3" width="24.44140625" style="1" customWidth="1"/>
    <col min="4" max="4" width="17.88671875" style="1" customWidth="1"/>
    <col min="5" max="5" width="17.44140625" style="1" bestFit="1" customWidth="1"/>
    <col min="6" max="6" width="18.44140625" style="1" bestFit="1" customWidth="1"/>
    <col min="7" max="7" width="23.44140625" style="1" bestFit="1" customWidth="1"/>
    <col min="8" max="8" width="24.109375" style="1" bestFit="1" customWidth="1"/>
    <col min="9" max="9" width="6.6640625" style="1" bestFit="1" customWidth="1"/>
    <col min="10" max="10" width="6.33203125" style="1" customWidth="1"/>
    <col min="11" max="11" width="8.33203125" style="1" customWidth="1"/>
    <col min="12" max="12" width="10.6640625" style="1" bestFit="1" customWidth="1"/>
    <col min="13" max="13" width="11.6640625" style="1" bestFit="1" customWidth="1"/>
    <col min="14" max="14" width="18.44140625" style="1" bestFit="1" customWidth="1"/>
    <col min="15" max="15" width="14.6640625" style="1" bestFit="1" customWidth="1"/>
    <col min="16" max="16" width="15.6640625" style="1" bestFit="1" customWidth="1"/>
    <col min="17" max="17" width="13" style="1" bestFit="1" customWidth="1"/>
    <col min="18" max="18" width="12" style="1" bestFit="1" customWidth="1"/>
    <col min="19" max="19" width="10.44140625" style="1" bestFit="1" customWidth="1"/>
    <col min="20" max="20" width="9.88671875" style="1" bestFit="1" customWidth="1"/>
    <col min="21" max="21" width="17.44140625" style="1" bestFit="1" customWidth="1"/>
    <col min="22" max="22" width="10.6640625" style="1" bestFit="1" customWidth="1"/>
    <col min="23" max="23" width="14.33203125" style="1" bestFit="1" customWidth="1"/>
    <col min="24" max="24" width="11.109375" style="1" bestFit="1" customWidth="1"/>
    <col min="25" max="25" width="20.109375" style="1" bestFit="1" customWidth="1"/>
    <col min="26" max="26" width="11" style="2" bestFit="1" customWidth="1"/>
    <col min="27" max="27" width="12.109375" style="2" bestFit="1" customWidth="1"/>
    <col min="28" max="28" width="11.33203125" style="1" bestFit="1" customWidth="1"/>
    <col min="29" max="29" width="15.88671875" style="1" customWidth="1"/>
    <col min="30" max="30" width="19.44140625" style="1" bestFit="1" customWidth="1"/>
    <col min="31" max="31" width="19.88671875" style="1" bestFit="1" customWidth="1"/>
    <col min="32" max="32" width="19.109375" style="1" bestFit="1" customWidth="1"/>
    <col min="33" max="35" width="10.6640625" style="1" customWidth="1"/>
    <col min="36" max="16384" width="24.33203125" style="1"/>
  </cols>
  <sheetData>
    <row r="1" spans="1:34" ht="12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</row>
    <row r="2" spans="1:34" ht="12" customHeight="1">
      <c r="A2" s="3">
        <v>45292</v>
      </c>
      <c r="B2" s="5" t="s">
        <v>34</v>
      </c>
      <c r="C2" s="5" t="s">
        <v>35</v>
      </c>
      <c r="D2" s="5" t="s">
        <v>36</v>
      </c>
      <c r="E2" s="5" t="s">
        <v>37</v>
      </c>
      <c r="F2" s="5" t="str">
        <f t="shared" ref="F2:F65" si="0">IF(ISNUMBER(SEARCH("Rice",E2)),"Rice",IF(ISNUMBER(SEARCH("Basmati",E2)),"Rice",IF(ISNUMBER(SEARCH("Sugar",E2)),"Sugar",IF(ISNUMBER(SEARCH("Lentils",E2)),"Lentils",IF(ISNUMBER(SEARCH("Masoor",E2)),"Lentils",IF(ISNUMBER(SEARCH("Cloves",E2)),"Cloves",IF(ISNUMBER(SEARCH("Sunflower",E2)),"Sunflower","Other")))))))</f>
        <v>Sugar</v>
      </c>
      <c r="G2" s="5" t="s">
        <v>38</v>
      </c>
      <c r="H2" s="5" t="s">
        <v>39</v>
      </c>
      <c r="I2" s="5" t="s">
        <v>40</v>
      </c>
      <c r="J2" s="6">
        <v>10</v>
      </c>
      <c r="K2" s="6">
        <v>270</v>
      </c>
      <c r="L2" s="6">
        <v>658</v>
      </c>
      <c r="M2" s="6">
        <f>L2*K2</f>
        <v>177660</v>
      </c>
      <c r="N2" s="6">
        <v>693.6</v>
      </c>
      <c r="O2" s="6">
        <v>668.39</v>
      </c>
      <c r="P2" s="6">
        <f t="shared" ref="P2:P65" si="1">K2*O2</f>
        <v>180465.3</v>
      </c>
      <c r="Q2" s="6">
        <f t="shared" ref="Q2:Q65" si="2">M2-P2</f>
        <v>-2805.2999999999884</v>
      </c>
      <c r="R2" s="6">
        <v>1700</v>
      </c>
      <c r="S2" s="6">
        <v>136</v>
      </c>
      <c r="T2" s="6">
        <v>0</v>
      </c>
      <c r="U2" s="6">
        <v>40.799999999999997</v>
      </c>
      <c r="V2" s="6">
        <v>1200</v>
      </c>
      <c r="W2" s="6">
        <f t="shared" ref="W2:W65" si="3">N2+Y2</f>
        <v>13243.6</v>
      </c>
      <c r="X2" s="6">
        <f t="shared" ref="X2:X65" si="4">R2+S2+T2+U2+V2</f>
        <v>3076.8</v>
      </c>
      <c r="Y2" s="6">
        <v>12550</v>
      </c>
      <c r="Z2" s="6">
        <f t="shared" ref="Z2:Z65" si="5">Q2-X2+W2</f>
        <v>7361.5000000000118</v>
      </c>
      <c r="AA2" s="6" t="str">
        <f t="shared" ref="AA2:AA65" si="6">IF(Z2&gt;=0," Profit", " Loss")</f>
        <v xml:space="preserve"> Profit</v>
      </c>
      <c r="AB2" s="5" t="s">
        <v>41</v>
      </c>
      <c r="AC2" s="5" t="s">
        <v>42</v>
      </c>
      <c r="AD2" s="5" t="s">
        <v>43</v>
      </c>
      <c r="AE2" s="7" t="s">
        <v>44</v>
      </c>
      <c r="AF2" s="5" t="s">
        <v>45</v>
      </c>
      <c r="AG2" s="3">
        <v>45296</v>
      </c>
      <c r="AH2" s="3">
        <v>45302</v>
      </c>
    </row>
    <row r="3" spans="1:34" ht="12" customHeight="1">
      <c r="A3" s="3">
        <v>45296</v>
      </c>
      <c r="B3" s="5" t="s">
        <v>46</v>
      </c>
      <c r="C3" s="5" t="s">
        <v>47</v>
      </c>
      <c r="D3" s="5" t="s">
        <v>48</v>
      </c>
      <c r="E3" s="5" t="s">
        <v>37</v>
      </c>
      <c r="F3" s="5" t="str">
        <f t="shared" si="0"/>
        <v>Sugar</v>
      </c>
      <c r="G3" s="5" t="s">
        <v>49</v>
      </c>
      <c r="H3" s="5" t="s">
        <v>39</v>
      </c>
      <c r="I3" s="5" t="s">
        <v>40</v>
      </c>
      <c r="J3" s="6">
        <v>25</v>
      </c>
      <c r="K3" s="6">
        <v>675</v>
      </c>
      <c r="L3" s="6">
        <v>674.1</v>
      </c>
      <c r="M3" s="6">
        <f t="shared" ref="M3:M65" si="7">L3*K3</f>
        <v>455017.5</v>
      </c>
      <c r="N3" s="6">
        <v>1734</v>
      </c>
      <c r="O3" s="6">
        <v>642</v>
      </c>
      <c r="P3" s="6">
        <f t="shared" si="1"/>
        <v>433350</v>
      </c>
      <c r="Q3" s="6">
        <f t="shared" si="2"/>
        <v>21667.5</v>
      </c>
      <c r="R3" s="6">
        <v>4250</v>
      </c>
      <c r="S3" s="6">
        <v>340</v>
      </c>
      <c r="T3" s="6">
        <v>0</v>
      </c>
      <c r="U3" s="6">
        <v>102</v>
      </c>
      <c r="V3" s="6">
        <v>523.87</v>
      </c>
      <c r="W3" s="6">
        <f t="shared" si="3"/>
        <v>1734</v>
      </c>
      <c r="X3" s="6">
        <f t="shared" si="4"/>
        <v>5215.87</v>
      </c>
      <c r="Y3" s="6">
        <v>0</v>
      </c>
      <c r="Z3" s="6">
        <f t="shared" si="5"/>
        <v>18185.63</v>
      </c>
      <c r="AA3" s="6" t="str">
        <f t="shared" si="6"/>
        <v xml:space="preserve"> Profit</v>
      </c>
      <c r="AB3" s="5" t="s">
        <v>50</v>
      </c>
      <c r="AC3" s="5" t="s">
        <v>42</v>
      </c>
      <c r="AD3" s="5" t="s">
        <v>43</v>
      </c>
      <c r="AE3" s="7" t="s">
        <v>44</v>
      </c>
      <c r="AF3" s="5" t="s">
        <v>45</v>
      </c>
      <c r="AG3" s="3">
        <v>45300</v>
      </c>
      <c r="AH3" s="3">
        <v>45306</v>
      </c>
    </row>
    <row r="4" spans="1:34" ht="12" customHeight="1">
      <c r="A4" s="3">
        <v>45296</v>
      </c>
      <c r="B4" s="5" t="s">
        <v>51</v>
      </c>
      <c r="C4" s="5" t="s">
        <v>52</v>
      </c>
      <c r="D4" s="5" t="s">
        <v>53</v>
      </c>
      <c r="E4" s="5" t="s">
        <v>37</v>
      </c>
      <c r="F4" s="5" t="str">
        <f t="shared" si="0"/>
        <v>Sugar</v>
      </c>
      <c r="G4" s="5" t="s">
        <v>49</v>
      </c>
      <c r="H4" s="5" t="s">
        <v>39</v>
      </c>
      <c r="I4" s="5" t="s">
        <v>40</v>
      </c>
      <c r="J4" s="6">
        <v>15</v>
      </c>
      <c r="K4" s="6">
        <v>125</v>
      </c>
      <c r="L4" s="6">
        <v>674.1</v>
      </c>
      <c r="M4" s="6">
        <f t="shared" si="7"/>
        <v>84262.5</v>
      </c>
      <c r="N4" s="6">
        <v>1040.4000000000001</v>
      </c>
      <c r="O4" s="6">
        <v>642</v>
      </c>
      <c r="P4" s="6">
        <f t="shared" si="1"/>
        <v>80250</v>
      </c>
      <c r="Q4" s="6">
        <f t="shared" si="2"/>
        <v>4012.5</v>
      </c>
      <c r="R4" s="6">
        <v>2550</v>
      </c>
      <c r="S4" s="6">
        <v>204</v>
      </c>
      <c r="T4" s="6">
        <v>0</v>
      </c>
      <c r="U4" s="6">
        <v>61.2</v>
      </c>
      <c r="V4" s="6">
        <v>292.66000000000003</v>
      </c>
      <c r="W4" s="6">
        <f t="shared" si="3"/>
        <v>1040.4000000000001</v>
      </c>
      <c r="X4" s="6">
        <f t="shared" si="4"/>
        <v>3107.8599999999997</v>
      </c>
      <c r="Y4" s="6">
        <v>0</v>
      </c>
      <c r="Z4" s="6">
        <f t="shared" si="5"/>
        <v>1945.0400000000004</v>
      </c>
      <c r="AA4" s="6" t="str">
        <f t="shared" si="6"/>
        <v xml:space="preserve"> Profit</v>
      </c>
      <c r="AB4" s="5" t="s">
        <v>54</v>
      </c>
      <c r="AC4" s="5" t="s">
        <v>42</v>
      </c>
      <c r="AD4" s="5" t="s">
        <v>43</v>
      </c>
      <c r="AE4" s="7" t="s">
        <v>44</v>
      </c>
      <c r="AF4" s="5" t="s">
        <v>45</v>
      </c>
      <c r="AG4" s="3">
        <v>45300</v>
      </c>
      <c r="AH4" s="3">
        <v>45306</v>
      </c>
    </row>
    <row r="5" spans="1:34" ht="12" customHeight="1">
      <c r="A5" s="3">
        <v>45298</v>
      </c>
      <c r="B5" s="5" t="s">
        <v>55</v>
      </c>
      <c r="C5" s="5" t="s">
        <v>56</v>
      </c>
      <c r="D5" s="5" t="s">
        <v>48</v>
      </c>
      <c r="E5" s="5" t="s">
        <v>37</v>
      </c>
      <c r="F5" s="5" t="str">
        <f t="shared" si="0"/>
        <v>Sugar</v>
      </c>
      <c r="G5" s="5" t="s">
        <v>57</v>
      </c>
      <c r="H5" s="5" t="s">
        <v>39</v>
      </c>
      <c r="I5" s="5" t="s">
        <v>58</v>
      </c>
      <c r="J5" s="6">
        <v>10</v>
      </c>
      <c r="K5" s="6">
        <v>250</v>
      </c>
      <c r="L5" s="6">
        <v>504</v>
      </c>
      <c r="M5" s="6">
        <f t="shared" si="7"/>
        <v>126000</v>
      </c>
      <c r="N5" s="6">
        <v>0</v>
      </c>
      <c r="O5" s="6">
        <v>480</v>
      </c>
      <c r="P5" s="6">
        <f t="shared" si="1"/>
        <v>120000</v>
      </c>
      <c r="Q5" s="6">
        <f t="shared" si="2"/>
        <v>6000</v>
      </c>
      <c r="R5" s="6">
        <v>0</v>
      </c>
      <c r="S5" s="6">
        <v>0</v>
      </c>
      <c r="T5" s="6">
        <v>0</v>
      </c>
      <c r="U5" s="6">
        <v>0</v>
      </c>
      <c r="V5" s="6">
        <v>2096.1</v>
      </c>
      <c r="W5" s="6">
        <f t="shared" si="3"/>
        <v>0</v>
      </c>
      <c r="X5" s="6">
        <f t="shared" si="4"/>
        <v>2096.1</v>
      </c>
      <c r="Y5" s="6">
        <v>0</v>
      </c>
      <c r="Z5" s="6">
        <f t="shared" si="5"/>
        <v>3903.9</v>
      </c>
      <c r="AA5" s="6" t="str">
        <f t="shared" si="6"/>
        <v xml:space="preserve"> Profit</v>
      </c>
      <c r="AB5" s="5" t="s">
        <v>59</v>
      </c>
      <c r="AC5" s="5" t="s">
        <v>42</v>
      </c>
      <c r="AD5" s="5" t="s">
        <v>43</v>
      </c>
      <c r="AE5" s="7" t="s">
        <v>44</v>
      </c>
      <c r="AF5" s="5" t="s">
        <v>45</v>
      </c>
      <c r="AG5" s="3">
        <v>45302</v>
      </c>
      <c r="AH5" s="3">
        <v>45308</v>
      </c>
    </row>
    <row r="6" spans="1:34" ht="12" customHeight="1">
      <c r="A6" s="3">
        <v>45299</v>
      </c>
      <c r="B6" s="5" t="s">
        <v>60</v>
      </c>
      <c r="C6" s="5" t="s">
        <v>61</v>
      </c>
      <c r="D6" s="5" t="s">
        <v>62</v>
      </c>
      <c r="E6" s="5" t="s">
        <v>63</v>
      </c>
      <c r="F6" s="5" t="str">
        <f t="shared" si="0"/>
        <v>Rice</v>
      </c>
      <c r="G6" s="5" t="s">
        <v>57</v>
      </c>
      <c r="H6" s="5" t="s">
        <v>64</v>
      </c>
      <c r="I6" s="5" t="s">
        <v>40</v>
      </c>
      <c r="J6" s="6">
        <v>10</v>
      </c>
      <c r="K6" s="6">
        <v>230</v>
      </c>
      <c r="L6" s="6">
        <v>682.5</v>
      </c>
      <c r="M6" s="6">
        <f t="shared" si="7"/>
        <v>156975</v>
      </c>
      <c r="N6" s="6">
        <v>1591.2</v>
      </c>
      <c r="O6" s="6">
        <v>650</v>
      </c>
      <c r="P6" s="6">
        <f t="shared" si="1"/>
        <v>149500</v>
      </c>
      <c r="Q6" s="6">
        <f t="shared" si="2"/>
        <v>7475</v>
      </c>
      <c r="R6" s="6">
        <v>3900</v>
      </c>
      <c r="S6" s="6">
        <v>312</v>
      </c>
      <c r="T6" s="6">
        <v>0</v>
      </c>
      <c r="U6" s="6">
        <v>93.6</v>
      </c>
      <c r="V6" s="6">
        <v>36.729999999999997</v>
      </c>
      <c r="W6" s="6">
        <f t="shared" si="3"/>
        <v>1591.2</v>
      </c>
      <c r="X6" s="6">
        <f t="shared" si="4"/>
        <v>4342.33</v>
      </c>
      <c r="Y6" s="6">
        <v>0</v>
      </c>
      <c r="Z6" s="6">
        <f t="shared" si="5"/>
        <v>4723.87</v>
      </c>
      <c r="AA6" s="6" t="str">
        <f t="shared" si="6"/>
        <v xml:space="preserve"> Profit</v>
      </c>
      <c r="AB6" s="5" t="s">
        <v>65</v>
      </c>
      <c r="AC6" s="5" t="s">
        <v>66</v>
      </c>
      <c r="AD6" s="5" t="s">
        <v>67</v>
      </c>
      <c r="AE6" s="7" t="s">
        <v>44</v>
      </c>
      <c r="AF6" s="5" t="s">
        <v>45</v>
      </c>
      <c r="AG6" s="3">
        <v>45303</v>
      </c>
      <c r="AH6" s="3">
        <v>45309</v>
      </c>
    </row>
    <row r="7" spans="1:34" ht="12" customHeight="1">
      <c r="A7" s="3">
        <v>45301</v>
      </c>
      <c r="B7" s="5" t="s">
        <v>68</v>
      </c>
      <c r="C7" s="5" t="s">
        <v>69</v>
      </c>
      <c r="D7" s="5" t="s">
        <v>48</v>
      </c>
      <c r="E7" s="5" t="s">
        <v>37</v>
      </c>
      <c r="F7" s="5" t="str">
        <f t="shared" si="0"/>
        <v>Sugar</v>
      </c>
      <c r="G7" s="5" t="s">
        <v>49</v>
      </c>
      <c r="H7" s="5" t="s">
        <v>39</v>
      </c>
      <c r="I7" s="5" t="s">
        <v>40</v>
      </c>
      <c r="J7" s="6">
        <v>5</v>
      </c>
      <c r="K7" s="6">
        <v>135</v>
      </c>
      <c r="L7" s="6">
        <v>701.80949999999996</v>
      </c>
      <c r="M7" s="6">
        <f t="shared" si="7"/>
        <v>94744.282500000001</v>
      </c>
      <c r="N7" s="6">
        <v>304.36799999999999</v>
      </c>
      <c r="O7" s="6">
        <v>668.39</v>
      </c>
      <c r="P7" s="6">
        <f t="shared" si="1"/>
        <v>90232.65</v>
      </c>
      <c r="Q7" s="6">
        <f t="shared" si="2"/>
        <v>4511.632500000007</v>
      </c>
      <c r="R7" s="6">
        <v>746</v>
      </c>
      <c r="S7" s="6">
        <v>59.68</v>
      </c>
      <c r="T7" s="6">
        <v>0</v>
      </c>
      <c r="U7" s="6">
        <v>17.904</v>
      </c>
      <c r="V7" s="6">
        <v>270</v>
      </c>
      <c r="W7" s="6">
        <f t="shared" si="3"/>
        <v>304.36799999999999</v>
      </c>
      <c r="X7" s="6">
        <f t="shared" si="4"/>
        <v>1093.5839999999998</v>
      </c>
      <c r="Y7" s="6">
        <v>0</v>
      </c>
      <c r="Z7" s="6">
        <f t="shared" si="5"/>
        <v>3722.4165000000071</v>
      </c>
      <c r="AA7" s="6" t="str">
        <f t="shared" si="6"/>
        <v xml:space="preserve"> Profit</v>
      </c>
      <c r="AB7" s="5" t="s">
        <v>70</v>
      </c>
      <c r="AC7" s="5" t="s">
        <v>42</v>
      </c>
      <c r="AD7" s="5" t="s">
        <v>43</v>
      </c>
      <c r="AE7" s="7" t="s">
        <v>44</v>
      </c>
      <c r="AF7" s="5" t="s">
        <v>45</v>
      </c>
      <c r="AG7" s="3">
        <v>45305</v>
      </c>
      <c r="AH7" s="3">
        <v>45311</v>
      </c>
    </row>
    <row r="8" spans="1:34" ht="12" customHeight="1">
      <c r="A8" s="3">
        <v>45303</v>
      </c>
      <c r="B8" s="5" t="s">
        <v>71</v>
      </c>
      <c r="C8" s="5" t="s">
        <v>72</v>
      </c>
      <c r="D8" s="5" t="s">
        <v>53</v>
      </c>
      <c r="E8" s="5" t="s">
        <v>37</v>
      </c>
      <c r="F8" s="5" t="str">
        <f t="shared" si="0"/>
        <v>Sugar</v>
      </c>
      <c r="G8" s="5" t="s">
        <v>57</v>
      </c>
      <c r="H8" s="5" t="s">
        <v>39</v>
      </c>
      <c r="I8" s="5" t="s">
        <v>40</v>
      </c>
      <c r="J8" s="6">
        <v>10</v>
      </c>
      <c r="K8" s="6">
        <v>260</v>
      </c>
      <c r="L8" s="6">
        <v>650.37</v>
      </c>
      <c r="M8" s="6">
        <f t="shared" si="7"/>
        <v>169096.2</v>
      </c>
      <c r="N8" s="6">
        <v>5085.72</v>
      </c>
      <c r="O8" s="6">
        <v>619.4</v>
      </c>
      <c r="P8" s="6">
        <f t="shared" si="1"/>
        <v>161044</v>
      </c>
      <c r="Q8" s="6">
        <f t="shared" si="2"/>
        <v>8052.2000000000116</v>
      </c>
      <c r="R8" s="6">
        <v>12465</v>
      </c>
      <c r="S8" s="6">
        <v>997.2</v>
      </c>
      <c r="T8" s="6">
        <v>0</v>
      </c>
      <c r="U8" s="6">
        <v>299.16000000000003</v>
      </c>
      <c r="V8" s="6">
        <v>42.65</v>
      </c>
      <c r="W8" s="6">
        <f t="shared" si="3"/>
        <v>5085.72</v>
      </c>
      <c r="X8" s="6">
        <f t="shared" si="4"/>
        <v>13804.01</v>
      </c>
      <c r="Y8" s="6">
        <v>0</v>
      </c>
      <c r="Z8" s="6">
        <f t="shared" si="5"/>
        <v>-666.08999999998832</v>
      </c>
      <c r="AA8" s="6" t="str">
        <f t="shared" si="6"/>
        <v xml:space="preserve"> Loss</v>
      </c>
      <c r="AB8" s="5" t="s">
        <v>73</v>
      </c>
      <c r="AC8" s="5" t="s">
        <v>42</v>
      </c>
      <c r="AD8" s="5" t="s">
        <v>43</v>
      </c>
      <c r="AE8" s="7" t="s">
        <v>44</v>
      </c>
      <c r="AF8" s="5" t="s">
        <v>45</v>
      </c>
      <c r="AG8" s="3">
        <v>45307</v>
      </c>
      <c r="AH8" s="3">
        <v>45313</v>
      </c>
    </row>
    <row r="9" spans="1:34" ht="12" customHeight="1">
      <c r="A9" s="3">
        <v>45307</v>
      </c>
      <c r="B9" s="5" t="s">
        <v>74</v>
      </c>
      <c r="C9" s="5" t="s">
        <v>75</v>
      </c>
      <c r="D9" s="5" t="s">
        <v>48</v>
      </c>
      <c r="E9" s="5" t="s">
        <v>37</v>
      </c>
      <c r="F9" s="5" t="str">
        <f t="shared" si="0"/>
        <v>Sugar</v>
      </c>
      <c r="G9" s="5" t="s">
        <v>38</v>
      </c>
      <c r="H9" s="5" t="s">
        <v>39</v>
      </c>
      <c r="I9" s="5" t="s">
        <v>40</v>
      </c>
      <c r="J9" s="6">
        <v>10</v>
      </c>
      <c r="K9" s="6">
        <v>270</v>
      </c>
      <c r="L9" s="6">
        <v>701.80949999999996</v>
      </c>
      <c r="M9" s="6">
        <f t="shared" si="7"/>
        <v>189488.565</v>
      </c>
      <c r="N9" s="6">
        <v>608.73599999999999</v>
      </c>
      <c r="O9" s="6">
        <v>668.39</v>
      </c>
      <c r="P9" s="6">
        <f t="shared" si="1"/>
        <v>180465.3</v>
      </c>
      <c r="Q9" s="6">
        <f t="shared" si="2"/>
        <v>9023.265000000014</v>
      </c>
      <c r="R9" s="6">
        <v>1492</v>
      </c>
      <c r="S9" s="6">
        <v>119.36</v>
      </c>
      <c r="T9" s="6">
        <v>0</v>
      </c>
      <c r="U9" s="6">
        <v>35.808</v>
      </c>
      <c r="V9" s="6">
        <v>316.23</v>
      </c>
      <c r="W9" s="6">
        <f t="shared" si="3"/>
        <v>608.73599999999999</v>
      </c>
      <c r="X9" s="6">
        <f t="shared" si="4"/>
        <v>1963.3979999999999</v>
      </c>
      <c r="Y9" s="6">
        <v>0</v>
      </c>
      <c r="Z9" s="6">
        <f t="shared" si="5"/>
        <v>7668.6030000000137</v>
      </c>
      <c r="AA9" s="6" t="str">
        <f t="shared" si="6"/>
        <v xml:space="preserve"> Profit</v>
      </c>
      <c r="AB9" s="5" t="s">
        <v>76</v>
      </c>
      <c r="AC9" s="5" t="s">
        <v>77</v>
      </c>
      <c r="AD9" s="5" t="s">
        <v>67</v>
      </c>
      <c r="AE9" s="7" t="s">
        <v>44</v>
      </c>
      <c r="AF9" s="5" t="s">
        <v>45</v>
      </c>
      <c r="AG9" s="3">
        <v>45311</v>
      </c>
      <c r="AH9" s="3">
        <v>45317</v>
      </c>
    </row>
    <row r="10" spans="1:34" ht="12" customHeight="1">
      <c r="A10" s="3">
        <v>45307</v>
      </c>
      <c r="B10" s="5" t="s">
        <v>78</v>
      </c>
      <c r="C10" s="5" t="s">
        <v>79</v>
      </c>
      <c r="D10" s="5" t="s">
        <v>62</v>
      </c>
      <c r="E10" s="5" t="s">
        <v>37</v>
      </c>
      <c r="F10" s="5" t="str">
        <f t="shared" si="0"/>
        <v>Sugar</v>
      </c>
      <c r="G10" s="5" t="s">
        <v>38</v>
      </c>
      <c r="H10" s="5" t="s">
        <v>39</v>
      </c>
      <c r="I10" s="5" t="s">
        <v>80</v>
      </c>
      <c r="J10" s="6">
        <v>15</v>
      </c>
      <c r="K10" s="6">
        <v>405</v>
      </c>
      <c r="L10" s="6">
        <v>750.75</v>
      </c>
      <c r="M10" s="6">
        <f t="shared" si="7"/>
        <v>304053.75</v>
      </c>
      <c r="N10" s="6">
        <v>887.4</v>
      </c>
      <c r="O10" s="6">
        <v>715</v>
      </c>
      <c r="P10" s="6">
        <f t="shared" si="1"/>
        <v>289575</v>
      </c>
      <c r="Q10" s="6">
        <f t="shared" si="2"/>
        <v>14478.75</v>
      </c>
      <c r="R10" s="6">
        <v>2175</v>
      </c>
      <c r="S10" s="6">
        <v>0</v>
      </c>
      <c r="T10" s="6">
        <v>0</v>
      </c>
      <c r="U10" s="6">
        <v>0</v>
      </c>
      <c r="V10" s="6">
        <v>315.73</v>
      </c>
      <c r="W10" s="6">
        <f t="shared" si="3"/>
        <v>887.4</v>
      </c>
      <c r="X10" s="6">
        <f t="shared" si="4"/>
        <v>2490.73</v>
      </c>
      <c r="Y10" s="6">
        <v>0</v>
      </c>
      <c r="Z10" s="6">
        <f t="shared" si="5"/>
        <v>12875.42</v>
      </c>
      <c r="AA10" s="6" t="str">
        <f t="shared" si="6"/>
        <v xml:space="preserve"> Profit</v>
      </c>
      <c r="AB10" s="5" t="s">
        <v>81</v>
      </c>
      <c r="AC10" s="5" t="s">
        <v>82</v>
      </c>
      <c r="AD10" s="5" t="s">
        <v>43</v>
      </c>
      <c r="AE10" s="7" t="s">
        <v>44</v>
      </c>
      <c r="AF10" s="5" t="s">
        <v>45</v>
      </c>
      <c r="AG10" s="3">
        <v>45311</v>
      </c>
      <c r="AH10" s="3">
        <v>45317</v>
      </c>
    </row>
    <row r="11" spans="1:34" ht="12" customHeight="1">
      <c r="A11" s="3">
        <v>45308</v>
      </c>
      <c r="B11" s="5" t="s">
        <v>83</v>
      </c>
      <c r="C11" s="5" t="s">
        <v>84</v>
      </c>
      <c r="D11" s="5" t="s">
        <v>85</v>
      </c>
      <c r="E11" s="5" t="s">
        <v>37</v>
      </c>
      <c r="F11" s="5" t="str">
        <f t="shared" si="0"/>
        <v>Sugar</v>
      </c>
      <c r="G11" s="5" t="s">
        <v>86</v>
      </c>
      <c r="H11" s="5" t="s">
        <v>39</v>
      </c>
      <c r="I11" s="5" t="s">
        <v>80</v>
      </c>
      <c r="J11" s="6">
        <v>5</v>
      </c>
      <c r="K11" s="6">
        <v>135</v>
      </c>
      <c r="L11" s="6">
        <v>701.80949999999996</v>
      </c>
      <c r="M11" s="6">
        <f t="shared" si="7"/>
        <v>94744.282500000001</v>
      </c>
      <c r="N11" s="6">
        <v>307.28519999999997</v>
      </c>
      <c r="O11" s="6">
        <v>668.39</v>
      </c>
      <c r="P11" s="6">
        <f t="shared" si="1"/>
        <v>90232.65</v>
      </c>
      <c r="Q11" s="6">
        <f t="shared" si="2"/>
        <v>4511.632500000007</v>
      </c>
      <c r="R11" s="6">
        <v>753.15</v>
      </c>
      <c r="S11" s="6">
        <v>0</v>
      </c>
      <c r="T11" s="6">
        <v>0</v>
      </c>
      <c r="U11" s="6">
        <v>0</v>
      </c>
      <c r="V11" s="6">
        <v>270</v>
      </c>
      <c r="W11" s="6">
        <f t="shared" si="3"/>
        <v>307.28519999999997</v>
      </c>
      <c r="X11" s="6">
        <f t="shared" si="4"/>
        <v>1023.15</v>
      </c>
      <c r="Y11" s="6">
        <v>0</v>
      </c>
      <c r="Z11" s="6">
        <f t="shared" si="5"/>
        <v>3795.7677000000067</v>
      </c>
      <c r="AA11" s="6" t="str">
        <f t="shared" si="6"/>
        <v xml:space="preserve"> Profit</v>
      </c>
      <c r="AB11" s="5" t="s">
        <v>87</v>
      </c>
      <c r="AC11" s="5" t="s">
        <v>82</v>
      </c>
      <c r="AD11" s="5" t="s">
        <v>88</v>
      </c>
      <c r="AE11" s="7" t="s">
        <v>44</v>
      </c>
      <c r="AF11" s="5" t="s">
        <v>45</v>
      </c>
      <c r="AG11" s="3">
        <v>45312</v>
      </c>
      <c r="AH11" s="3">
        <v>45318</v>
      </c>
    </row>
    <row r="12" spans="1:34" ht="12" customHeight="1">
      <c r="A12" s="3">
        <v>45312</v>
      </c>
      <c r="B12" s="5" t="s">
        <v>89</v>
      </c>
      <c r="C12" s="5" t="s">
        <v>90</v>
      </c>
      <c r="D12" s="5" t="s">
        <v>91</v>
      </c>
      <c r="E12" s="5" t="s">
        <v>37</v>
      </c>
      <c r="F12" s="5" t="str">
        <f t="shared" si="0"/>
        <v>Sugar</v>
      </c>
      <c r="G12" s="5" t="s">
        <v>57</v>
      </c>
      <c r="H12" s="5" t="s">
        <v>39</v>
      </c>
      <c r="I12" s="5" t="s">
        <v>80</v>
      </c>
      <c r="J12" s="6">
        <v>20</v>
      </c>
      <c r="K12" s="6">
        <v>540</v>
      </c>
      <c r="L12" s="6">
        <v>654.67499999999995</v>
      </c>
      <c r="M12" s="6">
        <f t="shared" si="7"/>
        <v>353524.5</v>
      </c>
      <c r="N12" s="6">
        <v>5085.72</v>
      </c>
      <c r="O12" s="6">
        <v>623.5</v>
      </c>
      <c r="P12" s="6">
        <f t="shared" si="1"/>
        <v>336690</v>
      </c>
      <c r="Q12" s="6">
        <f t="shared" si="2"/>
        <v>16834.5</v>
      </c>
      <c r="R12" s="6">
        <v>12465</v>
      </c>
      <c r="S12" s="6">
        <v>0</v>
      </c>
      <c r="T12" s="6">
        <v>0</v>
      </c>
      <c r="U12" s="6">
        <v>0</v>
      </c>
      <c r="V12" s="6">
        <v>79.8</v>
      </c>
      <c r="W12" s="6">
        <f t="shared" si="3"/>
        <v>5085.72</v>
      </c>
      <c r="X12" s="6">
        <f t="shared" si="4"/>
        <v>12544.8</v>
      </c>
      <c r="Y12" s="6">
        <v>0</v>
      </c>
      <c r="Z12" s="6">
        <f t="shared" si="5"/>
        <v>9375.4200000000019</v>
      </c>
      <c r="AA12" s="6" t="str">
        <f t="shared" si="6"/>
        <v xml:space="preserve"> Profit</v>
      </c>
      <c r="AB12" s="5" t="s">
        <v>92</v>
      </c>
      <c r="AC12" s="5" t="s">
        <v>82</v>
      </c>
      <c r="AD12" s="5" t="s">
        <v>88</v>
      </c>
      <c r="AE12" s="7" t="s">
        <v>44</v>
      </c>
      <c r="AF12" s="5" t="s">
        <v>45</v>
      </c>
      <c r="AG12" s="3">
        <v>45316</v>
      </c>
      <c r="AH12" s="3">
        <v>45322</v>
      </c>
    </row>
    <row r="13" spans="1:34" ht="12" customHeight="1">
      <c r="A13" s="3">
        <v>45313</v>
      </c>
      <c r="B13" s="5" t="s">
        <v>93</v>
      </c>
      <c r="C13" s="5" t="s">
        <v>94</v>
      </c>
      <c r="D13" s="5" t="s">
        <v>36</v>
      </c>
      <c r="E13" s="5" t="s">
        <v>37</v>
      </c>
      <c r="F13" s="5" t="str">
        <f t="shared" si="0"/>
        <v>Sugar</v>
      </c>
      <c r="G13" s="5" t="s">
        <v>57</v>
      </c>
      <c r="H13" s="5" t="s">
        <v>39</v>
      </c>
      <c r="I13" s="5" t="s">
        <v>58</v>
      </c>
      <c r="J13" s="6">
        <v>10</v>
      </c>
      <c r="K13" s="6">
        <v>265</v>
      </c>
      <c r="L13" s="6">
        <v>490</v>
      </c>
      <c r="M13" s="6">
        <f t="shared" si="7"/>
        <v>129850</v>
      </c>
      <c r="N13" s="6">
        <v>0</v>
      </c>
      <c r="O13" s="6">
        <v>505</v>
      </c>
      <c r="P13" s="6">
        <f t="shared" si="1"/>
        <v>133825</v>
      </c>
      <c r="Q13" s="6">
        <f t="shared" si="2"/>
        <v>-3975</v>
      </c>
      <c r="R13" s="6">
        <v>0</v>
      </c>
      <c r="S13" s="6">
        <v>0</v>
      </c>
      <c r="T13" s="6">
        <v>0</v>
      </c>
      <c r="U13" s="6">
        <v>0</v>
      </c>
      <c r="V13" s="6">
        <v>200</v>
      </c>
      <c r="W13" s="6">
        <f t="shared" si="3"/>
        <v>8950</v>
      </c>
      <c r="X13" s="6">
        <f t="shared" si="4"/>
        <v>200</v>
      </c>
      <c r="Y13" s="6">
        <v>8950</v>
      </c>
      <c r="Z13" s="6">
        <f t="shared" si="5"/>
        <v>4775</v>
      </c>
      <c r="AA13" s="6" t="str">
        <f t="shared" si="6"/>
        <v xml:space="preserve"> Profit</v>
      </c>
      <c r="AB13" s="5" t="s">
        <v>95</v>
      </c>
      <c r="AC13" s="5" t="s">
        <v>82</v>
      </c>
      <c r="AD13" s="5" t="s">
        <v>88</v>
      </c>
      <c r="AE13" s="7" t="s">
        <v>44</v>
      </c>
      <c r="AF13" s="5" t="s">
        <v>45</v>
      </c>
      <c r="AG13" s="3">
        <v>45317</v>
      </c>
      <c r="AH13" s="3">
        <v>45323</v>
      </c>
    </row>
    <row r="14" spans="1:34" ht="12" customHeight="1">
      <c r="A14" s="3">
        <v>45313</v>
      </c>
      <c r="B14" s="5" t="s">
        <v>96</v>
      </c>
      <c r="C14" s="5" t="s">
        <v>94</v>
      </c>
      <c r="D14" s="5" t="s">
        <v>48</v>
      </c>
      <c r="E14" s="5" t="s">
        <v>37</v>
      </c>
      <c r="F14" s="5" t="str">
        <f t="shared" si="0"/>
        <v>Sugar</v>
      </c>
      <c r="G14" s="5" t="s">
        <v>57</v>
      </c>
      <c r="H14" s="5" t="s">
        <v>39</v>
      </c>
      <c r="I14" s="5" t="s">
        <v>58</v>
      </c>
      <c r="J14" s="6">
        <v>5</v>
      </c>
      <c r="K14" s="6">
        <v>132.5</v>
      </c>
      <c r="L14" s="6">
        <v>530.25</v>
      </c>
      <c r="M14" s="6">
        <f t="shared" si="7"/>
        <v>70258.125</v>
      </c>
      <c r="N14" s="6">
        <v>0</v>
      </c>
      <c r="O14" s="6">
        <v>505</v>
      </c>
      <c r="P14" s="6">
        <f t="shared" si="1"/>
        <v>66912.5</v>
      </c>
      <c r="Q14" s="6">
        <f t="shared" si="2"/>
        <v>3345.625</v>
      </c>
      <c r="R14" s="6">
        <v>0</v>
      </c>
      <c r="S14" s="6">
        <v>0</v>
      </c>
      <c r="T14" s="6">
        <v>0</v>
      </c>
      <c r="U14" s="6">
        <v>0</v>
      </c>
      <c r="V14" s="6">
        <v>7.15</v>
      </c>
      <c r="W14" s="6">
        <f t="shared" si="3"/>
        <v>0</v>
      </c>
      <c r="X14" s="6">
        <f t="shared" si="4"/>
        <v>7.15</v>
      </c>
      <c r="Y14" s="6">
        <v>0</v>
      </c>
      <c r="Z14" s="6">
        <f t="shared" si="5"/>
        <v>3338.4749999999999</v>
      </c>
      <c r="AA14" s="6" t="str">
        <f t="shared" si="6"/>
        <v xml:space="preserve"> Profit</v>
      </c>
      <c r="AB14" s="5" t="s">
        <v>97</v>
      </c>
      <c r="AC14" s="5" t="s">
        <v>82</v>
      </c>
      <c r="AD14" s="5" t="s">
        <v>88</v>
      </c>
      <c r="AE14" s="7" t="s">
        <v>44</v>
      </c>
      <c r="AF14" s="5" t="s">
        <v>45</v>
      </c>
      <c r="AG14" s="3">
        <v>45317</v>
      </c>
      <c r="AH14" s="3">
        <v>45323</v>
      </c>
    </row>
    <row r="15" spans="1:34" ht="12" customHeight="1">
      <c r="A15" s="3">
        <v>45316</v>
      </c>
      <c r="B15" s="5" t="s">
        <v>98</v>
      </c>
      <c r="C15" s="5" t="s">
        <v>99</v>
      </c>
      <c r="D15" s="5" t="s">
        <v>36</v>
      </c>
      <c r="E15" s="5" t="s">
        <v>100</v>
      </c>
      <c r="F15" s="5" t="str">
        <f t="shared" si="0"/>
        <v>Cloves</v>
      </c>
      <c r="G15" s="5" t="s">
        <v>38</v>
      </c>
      <c r="H15" s="5" t="s">
        <v>101</v>
      </c>
      <c r="I15" s="5" t="s">
        <v>58</v>
      </c>
      <c r="J15" s="6">
        <v>10</v>
      </c>
      <c r="K15" s="6">
        <v>265</v>
      </c>
      <c r="L15" s="6">
        <v>701.80949999999996</v>
      </c>
      <c r="M15" s="6">
        <f t="shared" si="7"/>
        <v>185979.51749999999</v>
      </c>
      <c r="N15" s="6">
        <v>0</v>
      </c>
      <c r="O15" s="6">
        <v>668.39</v>
      </c>
      <c r="P15" s="6">
        <f t="shared" si="1"/>
        <v>177123.35</v>
      </c>
      <c r="Q15" s="6">
        <f t="shared" si="2"/>
        <v>8856.1674999999814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f t="shared" si="3"/>
        <v>0</v>
      </c>
      <c r="X15" s="6">
        <f t="shared" si="4"/>
        <v>0</v>
      </c>
      <c r="Y15" s="6">
        <v>0</v>
      </c>
      <c r="Z15" s="6">
        <f t="shared" si="5"/>
        <v>8856.1674999999814</v>
      </c>
      <c r="AA15" s="6" t="str">
        <f t="shared" si="6"/>
        <v xml:space="preserve"> Profit</v>
      </c>
      <c r="AB15" s="5" t="s">
        <v>102</v>
      </c>
      <c r="AC15" s="5" t="s">
        <v>77</v>
      </c>
      <c r="AD15" s="5" t="s">
        <v>103</v>
      </c>
      <c r="AE15" s="7" t="s">
        <v>44</v>
      </c>
      <c r="AF15" s="5" t="s">
        <v>45</v>
      </c>
      <c r="AG15" s="3">
        <v>45320</v>
      </c>
      <c r="AH15" s="3">
        <v>45326</v>
      </c>
    </row>
    <row r="16" spans="1:34" ht="12" customHeight="1">
      <c r="A16" s="3">
        <v>45319</v>
      </c>
      <c r="B16" s="5" t="s">
        <v>104</v>
      </c>
      <c r="C16" s="5" t="s">
        <v>99</v>
      </c>
      <c r="D16" s="5" t="s">
        <v>48</v>
      </c>
      <c r="E16" s="5" t="s">
        <v>100</v>
      </c>
      <c r="F16" s="5" t="str">
        <f t="shared" si="0"/>
        <v>Cloves</v>
      </c>
      <c r="G16" s="5" t="s">
        <v>38</v>
      </c>
      <c r="H16" s="5" t="s">
        <v>101</v>
      </c>
      <c r="I16" s="5" t="s">
        <v>58</v>
      </c>
      <c r="J16" s="6">
        <v>2</v>
      </c>
      <c r="K16" s="6">
        <v>50</v>
      </c>
      <c r="L16" s="6">
        <v>682.5</v>
      </c>
      <c r="M16" s="6">
        <f t="shared" si="7"/>
        <v>34125</v>
      </c>
      <c r="N16" s="6">
        <v>0</v>
      </c>
      <c r="O16" s="6">
        <v>650</v>
      </c>
      <c r="P16" s="6">
        <f t="shared" si="1"/>
        <v>32500</v>
      </c>
      <c r="Q16" s="6">
        <f t="shared" si="2"/>
        <v>1625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f t="shared" si="3"/>
        <v>0</v>
      </c>
      <c r="X16" s="6">
        <f t="shared" si="4"/>
        <v>0</v>
      </c>
      <c r="Y16" s="6">
        <v>0</v>
      </c>
      <c r="Z16" s="6">
        <f t="shared" si="5"/>
        <v>1625</v>
      </c>
      <c r="AA16" s="6" t="str">
        <f t="shared" si="6"/>
        <v xml:space="preserve"> Profit</v>
      </c>
      <c r="AB16" s="5" t="s">
        <v>105</v>
      </c>
      <c r="AC16" s="5" t="s">
        <v>77</v>
      </c>
      <c r="AD16" s="5" t="s">
        <v>103</v>
      </c>
      <c r="AE16" s="7" t="s">
        <v>44</v>
      </c>
      <c r="AF16" s="5" t="s">
        <v>45</v>
      </c>
      <c r="AG16" s="3">
        <v>45323</v>
      </c>
      <c r="AH16" s="3">
        <v>45329</v>
      </c>
    </row>
    <row r="17" spans="1:34" ht="12" customHeight="1">
      <c r="A17" s="3">
        <v>45322</v>
      </c>
      <c r="B17" s="5" t="s">
        <v>106</v>
      </c>
      <c r="C17" s="5" t="s">
        <v>107</v>
      </c>
      <c r="D17" s="5" t="s">
        <v>48</v>
      </c>
      <c r="E17" s="5" t="s">
        <v>63</v>
      </c>
      <c r="F17" s="5" t="str">
        <f t="shared" si="0"/>
        <v>Rice</v>
      </c>
      <c r="G17" s="5" t="s">
        <v>49</v>
      </c>
      <c r="H17" s="5" t="s">
        <v>64</v>
      </c>
      <c r="I17" s="5" t="s">
        <v>80</v>
      </c>
      <c r="J17" s="6">
        <v>2</v>
      </c>
      <c r="K17" s="6">
        <v>50</v>
      </c>
      <c r="L17" s="6">
        <v>1181.25</v>
      </c>
      <c r="M17" s="6">
        <f t="shared" si="7"/>
        <v>59062.5</v>
      </c>
      <c r="N17" s="6">
        <v>1741.3440000000001</v>
      </c>
      <c r="O17" s="6">
        <v>1125</v>
      </c>
      <c r="P17" s="6">
        <f t="shared" si="1"/>
        <v>56250</v>
      </c>
      <c r="Q17" s="6">
        <f t="shared" si="2"/>
        <v>2812.5</v>
      </c>
      <c r="R17" s="6">
        <v>4268</v>
      </c>
      <c r="S17" s="6">
        <v>0</v>
      </c>
      <c r="T17" s="6">
        <v>0</v>
      </c>
      <c r="U17" s="6">
        <v>0</v>
      </c>
      <c r="V17" s="6">
        <v>15.73</v>
      </c>
      <c r="W17" s="6">
        <f t="shared" si="3"/>
        <v>1741.3440000000001</v>
      </c>
      <c r="X17" s="6">
        <f t="shared" si="4"/>
        <v>4283.7299999999996</v>
      </c>
      <c r="Y17" s="6">
        <v>0</v>
      </c>
      <c r="Z17" s="6">
        <f t="shared" si="5"/>
        <v>270.11400000000049</v>
      </c>
      <c r="AA17" s="6" t="str">
        <f t="shared" si="6"/>
        <v xml:space="preserve"> Profit</v>
      </c>
      <c r="AB17" s="5" t="s">
        <v>108</v>
      </c>
      <c r="AC17" s="5" t="s">
        <v>66</v>
      </c>
      <c r="AD17" s="5" t="s">
        <v>67</v>
      </c>
      <c r="AE17" s="7" t="s">
        <v>44</v>
      </c>
      <c r="AF17" s="5" t="s">
        <v>45</v>
      </c>
      <c r="AG17" s="3">
        <v>45326</v>
      </c>
      <c r="AH17" s="3">
        <v>45332</v>
      </c>
    </row>
    <row r="18" spans="1:34" ht="12" customHeight="1">
      <c r="A18" s="3">
        <v>45321</v>
      </c>
      <c r="B18" s="5" t="s">
        <v>109</v>
      </c>
      <c r="C18" s="5" t="s">
        <v>61</v>
      </c>
      <c r="D18" s="5" t="s">
        <v>53</v>
      </c>
      <c r="E18" s="5" t="s">
        <v>63</v>
      </c>
      <c r="F18" s="5" t="str">
        <f t="shared" si="0"/>
        <v>Rice</v>
      </c>
      <c r="G18" s="5" t="s">
        <v>57</v>
      </c>
      <c r="H18" s="5" t="s">
        <v>64</v>
      </c>
      <c r="I18" s="5" t="s">
        <v>80</v>
      </c>
      <c r="J18" s="6">
        <v>10</v>
      </c>
      <c r="K18" s="6">
        <v>230</v>
      </c>
      <c r="L18" s="6">
        <v>682.5</v>
      </c>
      <c r="M18" s="6">
        <f t="shared" si="7"/>
        <v>156975</v>
      </c>
      <c r="N18" s="6">
        <v>1407.6</v>
      </c>
      <c r="O18" s="6">
        <v>650</v>
      </c>
      <c r="P18" s="6">
        <f t="shared" si="1"/>
        <v>149500</v>
      </c>
      <c r="Q18" s="6">
        <f t="shared" si="2"/>
        <v>7475</v>
      </c>
      <c r="R18" s="6">
        <v>3450</v>
      </c>
      <c r="S18" s="6">
        <v>0</v>
      </c>
      <c r="T18" s="6">
        <v>0</v>
      </c>
      <c r="U18" s="6">
        <v>0</v>
      </c>
      <c r="V18" s="6">
        <v>0</v>
      </c>
      <c r="W18" s="6">
        <f t="shared" si="3"/>
        <v>1407.6</v>
      </c>
      <c r="X18" s="6">
        <f t="shared" si="4"/>
        <v>3450</v>
      </c>
      <c r="Y18" s="6">
        <v>0</v>
      </c>
      <c r="Z18" s="6">
        <f t="shared" si="5"/>
        <v>5432.6</v>
      </c>
      <c r="AA18" s="6" t="str">
        <f t="shared" si="6"/>
        <v xml:space="preserve"> Profit</v>
      </c>
      <c r="AB18" s="5" t="s">
        <v>110</v>
      </c>
      <c r="AC18" s="5" t="s">
        <v>66</v>
      </c>
      <c r="AD18" s="5" t="s">
        <v>67</v>
      </c>
      <c r="AE18" s="7" t="s">
        <v>44</v>
      </c>
      <c r="AF18" s="5" t="s">
        <v>45</v>
      </c>
      <c r="AG18" s="3">
        <v>45325</v>
      </c>
      <c r="AH18" s="3">
        <v>45331</v>
      </c>
    </row>
    <row r="19" spans="1:34" ht="12" customHeight="1">
      <c r="A19" s="3">
        <v>45325</v>
      </c>
      <c r="B19" s="5" t="s">
        <v>111</v>
      </c>
      <c r="C19" s="5" t="s">
        <v>94</v>
      </c>
      <c r="D19" s="5" t="s">
        <v>112</v>
      </c>
      <c r="E19" s="5" t="s">
        <v>37</v>
      </c>
      <c r="F19" s="5" t="str">
        <f t="shared" si="0"/>
        <v>Sugar</v>
      </c>
      <c r="G19" s="5" t="s">
        <v>57</v>
      </c>
      <c r="H19" s="5" t="s">
        <v>39</v>
      </c>
      <c r="I19" s="5" t="s">
        <v>58</v>
      </c>
      <c r="J19" s="6">
        <v>15</v>
      </c>
      <c r="K19" s="6">
        <v>397.5</v>
      </c>
      <c r="L19" s="6">
        <v>530.25</v>
      </c>
      <c r="M19" s="6">
        <f t="shared" si="7"/>
        <v>210774.375</v>
      </c>
      <c r="N19" s="6">
        <v>0</v>
      </c>
      <c r="O19" s="6">
        <v>505</v>
      </c>
      <c r="P19" s="6">
        <f t="shared" si="1"/>
        <v>200737.5</v>
      </c>
      <c r="Q19" s="6">
        <f t="shared" si="2"/>
        <v>10036.875</v>
      </c>
      <c r="R19" s="6">
        <v>0</v>
      </c>
      <c r="S19" s="6">
        <v>0</v>
      </c>
      <c r="T19" s="6">
        <v>0</v>
      </c>
      <c r="U19" s="6">
        <v>0</v>
      </c>
      <c r="V19" s="6">
        <v>7.15</v>
      </c>
      <c r="W19" s="6">
        <f t="shared" si="3"/>
        <v>0</v>
      </c>
      <c r="X19" s="6">
        <f t="shared" si="4"/>
        <v>7.15</v>
      </c>
      <c r="Y19" s="6">
        <v>0</v>
      </c>
      <c r="Z19" s="6">
        <f t="shared" si="5"/>
        <v>10029.725</v>
      </c>
      <c r="AA19" s="6" t="str">
        <f t="shared" si="6"/>
        <v xml:space="preserve"> Profit</v>
      </c>
      <c r="AB19" s="5" t="s">
        <v>113</v>
      </c>
      <c r="AC19" s="5" t="s">
        <v>82</v>
      </c>
      <c r="AD19" s="5" t="s">
        <v>43</v>
      </c>
      <c r="AE19" s="7" t="s">
        <v>114</v>
      </c>
      <c r="AF19" s="7" t="s">
        <v>115</v>
      </c>
      <c r="AG19" s="3">
        <v>45329</v>
      </c>
      <c r="AH19" s="3">
        <v>45335</v>
      </c>
    </row>
    <row r="20" spans="1:34" ht="12" customHeight="1">
      <c r="A20" s="3">
        <v>45325</v>
      </c>
      <c r="B20" s="5" t="s">
        <v>116</v>
      </c>
      <c r="C20" s="5" t="s">
        <v>94</v>
      </c>
      <c r="D20" s="5" t="s">
        <v>48</v>
      </c>
      <c r="E20" s="5" t="s">
        <v>37</v>
      </c>
      <c r="F20" s="5" t="str">
        <f t="shared" si="0"/>
        <v>Sugar</v>
      </c>
      <c r="G20" s="5" t="s">
        <v>57</v>
      </c>
      <c r="H20" s="5" t="s">
        <v>39</v>
      </c>
      <c r="I20" s="5" t="s">
        <v>58</v>
      </c>
      <c r="J20" s="6">
        <v>1</v>
      </c>
      <c r="K20" s="6">
        <v>26.5</v>
      </c>
      <c r="L20" s="6">
        <v>530.25</v>
      </c>
      <c r="M20" s="6">
        <f t="shared" si="7"/>
        <v>14051.625</v>
      </c>
      <c r="N20" s="6">
        <v>0</v>
      </c>
      <c r="O20" s="6">
        <v>505</v>
      </c>
      <c r="P20" s="6">
        <f t="shared" si="1"/>
        <v>13382.5</v>
      </c>
      <c r="Q20" s="6">
        <f t="shared" si="2"/>
        <v>669.125</v>
      </c>
      <c r="R20" s="6">
        <v>0</v>
      </c>
      <c r="S20" s="6">
        <v>0</v>
      </c>
      <c r="T20" s="6">
        <v>0</v>
      </c>
      <c r="U20" s="6">
        <v>0</v>
      </c>
      <c r="V20" s="6">
        <v>1250</v>
      </c>
      <c r="W20" s="6">
        <f t="shared" si="3"/>
        <v>0</v>
      </c>
      <c r="X20" s="6">
        <f t="shared" si="4"/>
        <v>1250</v>
      </c>
      <c r="Y20" s="6">
        <v>0</v>
      </c>
      <c r="Z20" s="6">
        <f t="shared" si="5"/>
        <v>-580.875</v>
      </c>
      <c r="AA20" s="6" t="str">
        <f t="shared" si="6"/>
        <v xml:space="preserve"> Loss</v>
      </c>
      <c r="AB20" s="5" t="s">
        <v>117</v>
      </c>
      <c r="AC20" s="5" t="s">
        <v>77</v>
      </c>
      <c r="AD20" s="5" t="s">
        <v>67</v>
      </c>
      <c r="AE20" s="7" t="s">
        <v>44</v>
      </c>
      <c r="AF20" s="5" t="s">
        <v>45</v>
      </c>
      <c r="AG20" s="3">
        <v>45329</v>
      </c>
      <c r="AH20" s="3">
        <v>45335</v>
      </c>
    </row>
    <row r="21" spans="1:34" ht="12" customHeight="1">
      <c r="A21" s="3">
        <v>45331</v>
      </c>
      <c r="B21" s="5" t="s">
        <v>118</v>
      </c>
      <c r="C21" s="5" t="s">
        <v>119</v>
      </c>
      <c r="D21" s="5" t="s">
        <v>48</v>
      </c>
      <c r="E21" s="5" t="s">
        <v>37</v>
      </c>
      <c r="F21" s="5" t="str">
        <f t="shared" si="0"/>
        <v>Sugar</v>
      </c>
      <c r="G21" s="5" t="s">
        <v>38</v>
      </c>
      <c r="H21" s="5" t="s">
        <v>39</v>
      </c>
      <c r="I21" s="5" t="s">
        <v>80</v>
      </c>
      <c r="J21" s="6">
        <v>20</v>
      </c>
      <c r="K21" s="6">
        <v>250</v>
      </c>
      <c r="L21" s="6">
        <v>649.95000000000005</v>
      </c>
      <c r="M21" s="6">
        <f t="shared" si="7"/>
        <v>162487.5</v>
      </c>
      <c r="N21" s="6">
        <v>2833.1927999999998</v>
      </c>
      <c r="O21" s="6">
        <v>619</v>
      </c>
      <c r="P21" s="6">
        <f t="shared" si="1"/>
        <v>154750</v>
      </c>
      <c r="Q21" s="6">
        <f t="shared" si="2"/>
        <v>7737.5</v>
      </c>
      <c r="R21" s="6">
        <v>6944.1</v>
      </c>
      <c r="S21" s="6">
        <v>0</v>
      </c>
      <c r="T21" s="6">
        <v>0</v>
      </c>
      <c r="U21" s="6">
        <v>0</v>
      </c>
      <c r="V21" s="6">
        <v>1242</v>
      </c>
      <c r="W21" s="6">
        <f t="shared" si="3"/>
        <v>2833.1927999999998</v>
      </c>
      <c r="X21" s="6">
        <f t="shared" si="4"/>
        <v>8186.1</v>
      </c>
      <c r="Y21" s="6">
        <v>0</v>
      </c>
      <c r="Z21" s="6">
        <f t="shared" si="5"/>
        <v>2384.5927999999994</v>
      </c>
      <c r="AA21" s="6" t="str">
        <f t="shared" si="6"/>
        <v xml:space="preserve"> Profit</v>
      </c>
      <c r="AB21" s="5" t="s">
        <v>120</v>
      </c>
      <c r="AC21" s="5" t="s">
        <v>82</v>
      </c>
      <c r="AD21" s="5" t="s">
        <v>43</v>
      </c>
      <c r="AE21" s="7" t="s">
        <v>44</v>
      </c>
      <c r="AF21" s="5" t="s">
        <v>45</v>
      </c>
      <c r="AG21" s="3">
        <v>45335</v>
      </c>
      <c r="AH21" s="3">
        <v>45341</v>
      </c>
    </row>
    <row r="22" spans="1:34" ht="12" customHeight="1">
      <c r="A22" s="3">
        <v>45332</v>
      </c>
      <c r="B22" s="5" t="s">
        <v>121</v>
      </c>
      <c r="C22" s="5" t="s">
        <v>122</v>
      </c>
      <c r="D22" s="5" t="s">
        <v>36</v>
      </c>
      <c r="E22" s="5" t="s">
        <v>37</v>
      </c>
      <c r="F22" s="5" t="str">
        <f t="shared" si="0"/>
        <v>Sugar</v>
      </c>
      <c r="G22" s="5" t="s">
        <v>49</v>
      </c>
      <c r="H22" s="5" t="s">
        <v>39</v>
      </c>
      <c r="I22" s="5" t="s">
        <v>80</v>
      </c>
      <c r="J22" s="6">
        <v>30</v>
      </c>
      <c r="K22" s="6">
        <v>150</v>
      </c>
      <c r="L22" s="6">
        <v>220.5</v>
      </c>
      <c r="M22" s="6">
        <f t="shared" si="7"/>
        <v>33075</v>
      </c>
      <c r="N22" s="6">
        <v>13589.3172</v>
      </c>
      <c r="O22" s="6">
        <v>210</v>
      </c>
      <c r="P22" s="6">
        <f t="shared" si="1"/>
        <v>31500</v>
      </c>
      <c r="Q22" s="6">
        <f t="shared" si="2"/>
        <v>1575</v>
      </c>
      <c r="R22" s="6">
        <v>33307.15</v>
      </c>
      <c r="S22" s="6">
        <v>0</v>
      </c>
      <c r="T22" s="6">
        <v>0</v>
      </c>
      <c r="U22" s="6">
        <v>0</v>
      </c>
      <c r="V22" s="6">
        <v>212.11</v>
      </c>
      <c r="W22" s="6">
        <f t="shared" si="3"/>
        <v>13589.3172</v>
      </c>
      <c r="X22" s="6">
        <f t="shared" si="4"/>
        <v>33519.26</v>
      </c>
      <c r="Y22" s="6">
        <v>0</v>
      </c>
      <c r="Z22" s="6">
        <f t="shared" si="5"/>
        <v>-18354.942800000004</v>
      </c>
      <c r="AA22" s="6" t="str">
        <f t="shared" si="6"/>
        <v xml:space="preserve"> Loss</v>
      </c>
      <c r="AB22" s="5" t="s">
        <v>123</v>
      </c>
      <c r="AC22" s="5" t="s">
        <v>77</v>
      </c>
      <c r="AD22" s="5" t="s">
        <v>67</v>
      </c>
      <c r="AE22" s="7" t="s">
        <v>44</v>
      </c>
      <c r="AF22" s="5" t="s">
        <v>45</v>
      </c>
      <c r="AG22" s="3">
        <v>45336</v>
      </c>
      <c r="AH22" s="3">
        <v>45342</v>
      </c>
    </row>
    <row r="23" spans="1:34" ht="12" customHeight="1">
      <c r="A23" s="3">
        <v>45331</v>
      </c>
      <c r="B23" s="5" t="s">
        <v>124</v>
      </c>
      <c r="C23" s="5" t="s">
        <v>99</v>
      </c>
      <c r="D23" s="5" t="s">
        <v>36</v>
      </c>
      <c r="E23" s="5" t="s">
        <v>100</v>
      </c>
      <c r="F23" s="5" t="str">
        <f t="shared" si="0"/>
        <v>Cloves</v>
      </c>
      <c r="G23" s="5" t="s">
        <v>38</v>
      </c>
      <c r="H23" s="5" t="s">
        <v>101</v>
      </c>
      <c r="I23" s="5" t="s">
        <v>58</v>
      </c>
      <c r="J23" s="6">
        <v>1</v>
      </c>
      <c r="K23" s="6">
        <v>26.5</v>
      </c>
      <c r="L23" s="6">
        <v>661.5</v>
      </c>
      <c r="M23" s="6">
        <f t="shared" si="7"/>
        <v>17529.75</v>
      </c>
      <c r="N23" s="6">
        <v>0</v>
      </c>
      <c r="O23" s="6">
        <v>630</v>
      </c>
      <c r="P23" s="6">
        <f t="shared" si="1"/>
        <v>16695</v>
      </c>
      <c r="Q23" s="6">
        <f t="shared" si="2"/>
        <v>834.75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f t="shared" si="3"/>
        <v>0</v>
      </c>
      <c r="X23" s="6">
        <f t="shared" si="4"/>
        <v>0</v>
      </c>
      <c r="Y23" s="6">
        <v>0</v>
      </c>
      <c r="Z23" s="6">
        <f t="shared" si="5"/>
        <v>834.75</v>
      </c>
      <c r="AA23" s="6" t="str">
        <f t="shared" si="6"/>
        <v xml:space="preserve"> Profit</v>
      </c>
      <c r="AB23" s="5" t="s">
        <v>125</v>
      </c>
      <c r="AC23" s="5" t="s">
        <v>77</v>
      </c>
      <c r="AD23" s="5" t="s">
        <v>103</v>
      </c>
      <c r="AE23" s="7" t="s">
        <v>44</v>
      </c>
      <c r="AF23" s="5" t="s">
        <v>45</v>
      </c>
      <c r="AG23" s="3">
        <v>45335</v>
      </c>
      <c r="AH23" s="3">
        <v>45341</v>
      </c>
    </row>
    <row r="24" spans="1:34" ht="12" customHeight="1">
      <c r="A24" s="3">
        <v>45334</v>
      </c>
      <c r="B24" s="5" t="s">
        <v>126</v>
      </c>
      <c r="C24" s="5" t="s">
        <v>127</v>
      </c>
      <c r="D24" s="5" t="s">
        <v>128</v>
      </c>
      <c r="E24" s="5" t="s">
        <v>37</v>
      </c>
      <c r="F24" s="5" t="str">
        <f t="shared" si="0"/>
        <v>Sugar</v>
      </c>
      <c r="G24" s="5" t="s">
        <v>57</v>
      </c>
      <c r="H24" s="5" t="s">
        <v>39</v>
      </c>
      <c r="I24" s="5" t="s">
        <v>58</v>
      </c>
      <c r="J24" s="6">
        <v>30</v>
      </c>
      <c r="K24" s="6">
        <v>795</v>
      </c>
      <c r="L24" s="6">
        <v>535.5</v>
      </c>
      <c r="M24" s="6">
        <f t="shared" si="7"/>
        <v>425722.5</v>
      </c>
      <c r="N24" s="6">
        <v>0</v>
      </c>
      <c r="O24" s="6">
        <v>510</v>
      </c>
      <c r="P24" s="6">
        <f t="shared" si="1"/>
        <v>405450</v>
      </c>
      <c r="Q24" s="6">
        <f t="shared" si="2"/>
        <v>20272.5</v>
      </c>
      <c r="R24" s="6">
        <v>0</v>
      </c>
      <c r="S24" s="6">
        <v>0</v>
      </c>
      <c r="T24" s="6">
        <v>0</v>
      </c>
      <c r="U24" s="6">
        <v>0</v>
      </c>
      <c r="V24" s="6">
        <v>6636.83</v>
      </c>
      <c r="W24" s="6">
        <f t="shared" si="3"/>
        <v>0</v>
      </c>
      <c r="X24" s="6">
        <f t="shared" si="4"/>
        <v>6636.83</v>
      </c>
      <c r="Y24" s="6">
        <v>0</v>
      </c>
      <c r="Z24" s="6">
        <f t="shared" si="5"/>
        <v>13635.67</v>
      </c>
      <c r="AA24" s="6" t="str">
        <f t="shared" si="6"/>
        <v xml:space="preserve"> Profit</v>
      </c>
      <c r="AB24" s="5" t="s">
        <v>129</v>
      </c>
      <c r="AC24" s="5" t="s">
        <v>42</v>
      </c>
      <c r="AD24" s="5" t="s">
        <v>43</v>
      </c>
      <c r="AE24" s="7" t="s">
        <v>44</v>
      </c>
      <c r="AF24" s="5" t="s">
        <v>45</v>
      </c>
      <c r="AG24" s="3">
        <v>45338</v>
      </c>
      <c r="AH24" s="3">
        <v>45344</v>
      </c>
    </row>
    <row r="25" spans="1:34" ht="12" customHeight="1">
      <c r="A25" s="3">
        <v>45339</v>
      </c>
      <c r="B25" s="5" t="s">
        <v>130</v>
      </c>
      <c r="C25" s="5" t="s">
        <v>131</v>
      </c>
      <c r="D25" s="5" t="s">
        <v>85</v>
      </c>
      <c r="E25" s="5" t="s">
        <v>37</v>
      </c>
      <c r="F25" s="5" t="str">
        <f t="shared" si="0"/>
        <v>Sugar</v>
      </c>
      <c r="G25" s="5" t="s">
        <v>49</v>
      </c>
      <c r="H25" s="5" t="s">
        <v>39</v>
      </c>
      <c r="I25" s="5" t="s">
        <v>40</v>
      </c>
      <c r="J25" s="6">
        <v>15</v>
      </c>
      <c r="K25" s="6">
        <v>405</v>
      </c>
      <c r="L25" s="6">
        <v>666.75</v>
      </c>
      <c r="M25" s="6">
        <f t="shared" si="7"/>
        <v>270033.75</v>
      </c>
      <c r="N25" s="6">
        <v>2835.0695999999998</v>
      </c>
      <c r="O25" s="6">
        <v>635</v>
      </c>
      <c r="P25" s="6">
        <f t="shared" si="1"/>
        <v>257175</v>
      </c>
      <c r="Q25" s="6">
        <f t="shared" si="2"/>
        <v>12858.75</v>
      </c>
      <c r="R25" s="6">
        <v>6948.7</v>
      </c>
      <c r="S25" s="6">
        <v>555.89599999999996</v>
      </c>
      <c r="T25" s="6">
        <v>0</v>
      </c>
      <c r="U25" s="6">
        <v>166.7688</v>
      </c>
      <c r="V25" s="6">
        <v>437.49</v>
      </c>
      <c r="W25" s="6">
        <f t="shared" si="3"/>
        <v>2835.0695999999998</v>
      </c>
      <c r="X25" s="6">
        <f t="shared" si="4"/>
        <v>8108.8547999999992</v>
      </c>
      <c r="Y25" s="6">
        <v>0</v>
      </c>
      <c r="Z25" s="6">
        <f t="shared" si="5"/>
        <v>7584.9648000000007</v>
      </c>
      <c r="AA25" s="6" t="str">
        <f t="shared" si="6"/>
        <v xml:space="preserve"> Profit</v>
      </c>
      <c r="AB25" s="5" t="s">
        <v>132</v>
      </c>
      <c r="AC25" s="5" t="s">
        <v>42</v>
      </c>
      <c r="AD25" s="5" t="s">
        <v>43</v>
      </c>
      <c r="AE25" s="7" t="s">
        <v>44</v>
      </c>
      <c r="AF25" s="5" t="s">
        <v>45</v>
      </c>
      <c r="AG25" s="3">
        <v>45343</v>
      </c>
      <c r="AH25" s="3">
        <v>45349</v>
      </c>
    </row>
    <row r="26" spans="1:34" ht="12" customHeight="1">
      <c r="A26" s="3">
        <v>45337</v>
      </c>
      <c r="B26" s="5" t="s">
        <v>133</v>
      </c>
      <c r="C26" s="5" t="s">
        <v>134</v>
      </c>
      <c r="D26" s="5" t="s">
        <v>135</v>
      </c>
      <c r="E26" s="5" t="s">
        <v>37</v>
      </c>
      <c r="F26" s="5" t="str">
        <f t="shared" si="0"/>
        <v>Sugar</v>
      </c>
      <c r="G26" s="5" t="s">
        <v>49</v>
      </c>
      <c r="H26" s="5" t="s">
        <v>39</v>
      </c>
      <c r="I26" s="5" t="s">
        <v>40</v>
      </c>
      <c r="J26" s="6">
        <v>20</v>
      </c>
      <c r="K26" s="6">
        <v>540</v>
      </c>
      <c r="L26" s="6">
        <v>698.33399999999995</v>
      </c>
      <c r="M26" s="6">
        <f t="shared" si="7"/>
        <v>377100.36</v>
      </c>
      <c r="N26" s="6">
        <v>8366.9171999999999</v>
      </c>
      <c r="O26" s="6">
        <v>665.08</v>
      </c>
      <c r="P26" s="6">
        <f t="shared" si="1"/>
        <v>359143.2</v>
      </c>
      <c r="Q26" s="6">
        <f t="shared" si="2"/>
        <v>17957.159999999974</v>
      </c>
      <c r="R26" s="6">
        <v>20507.150000000001</v>
      </c>
      <c r="S26" s="6">
        <v>1640.5719999999999</v>
      </c>
      <c r="T26" s="6">
        <v>0</v>
      </c>
      <c r="U26" s="6">
        <v>492.17160000000001</v>
      </c>
      <c r="V26" s="6">
        <v>283.25</v>
      </c>
      <c r="W26" s="6">
        <f t="shared" si="3"/>
        <v>8366.9171999999999</v>
      </c>
      <c r="X26" s="6">
        <f t="shared" si="4"/>
        <v>22923.143600000003</v>
      </c>
      <c r="Y26" s="6">
        <v>0</v>
      </c>
      <c r="Z26" s="6">
        <f t="shared" si="5"/>
        <v>3400.9335999999712</v>
      </c>
      <c r="AA26" s="6" t="str">
        <f t="shared" si="6"/>
        <v xml:space="preserve"> Profit</v>
      </c>
      <c r="AB26" s="5" t="s">
        <v>136</v>
      </c>
      <c r="AC26" s="5" t="s">
        <v>42</v>
      </c>
      <c r="AD26" s="5" t="s">
        <v>43</v>
      </c>
      <c r="AE26" s="7" t="s">
        <v>44</v>
      </c>
      <c r="AF26" s="5" t="s">
        <v>45</v>
      </c>
      <c r="AG26" s="3">
        <v>45341</v>
      </c>
      <c r="AH26" s="3">
        <v>45347</v>
      </c>
    </row>
    <row r="27" spans="1:34" ht="12" customHeight="1">
      <c r="A27" s="3">
        <v>45342</v>
      </c>
      <c r="B27" s="5" t="s">
        <v>137</v>
      </c>
      <c r="C27" s="5" t="s">
        <v>138</v>
      </c>
      <c r="D27" s="5" t="s">
        <v>91</v>
      </c>
      <c r="E27" s="5" t="s">
        <v>37</v>
      </c>
      <c r="F27" s="5" t="str">
        <f t="shared" si="0"/>
        <v>Sugar</v>
      </c>
      <c r="G27" s="5" t="s">
        <v>49</v>
      </c>
      <c r="H27" s="5" t="s">
        <v>39</v>
      </c>
      <c r="I27" s="5" t="s">
        <v>40</v>
      </c>
      <c r="J27" s="6">
        <v>20</v>
      </c>
      <c r="K27" s="6">
        <v>540</v>
      </c>
      <c r="L27" s="6">
        <v>701.80949999999996</v>
      </c>
      <c r="M27" s="6">
        <f t="shared" si="7"/>
        <v>378977.13</v>
      </c>
      <c r="N27" s="6">
        <v>9296.2024799999999</v>
      </c>
      <c r="O27" s="6">
        <v>668.39</v>
      </c>
      <c r="P27" s="6">
        <f t="shared" si="1"/>
        <v>360930.6</v>
      </c>
      <c r="Q27" s="6">
        <f t="shared" si="2"/>
        <v>18046.530000000028</v>
      </c>
      <c r="R27" s="6">
        <v>22784.81</v>
      </c>
      <c r="S27" s="6">
        <v>1822.7847999999999</v>
      </c>
      <c r="T27" s="6">
        <v>0</v>
      </c>
      <c r="U27" s="6">
        <v>546.83543999999995</v>
      </c>
      <c r="V27" s="6">
        <v>35.729999999999997</v>
      </c>
      <c r="W27" s="6">
        <f t="shared" si="3"/>
        <v>9296.2024799999999</v>
      </c>
      <c r="X27" s="6">
        <f t="shared" si="4"/>
        <v>25190.160240000001</v>
      </c>
      <c r="Y27" s="6">
        <v>0</v>
      </c>
      <c r="Z27" s="6">
        <f t="shared" si="5"/>
        <v>2152.5722400000268</v>
      </c>
      <c r="AA27" s="6" t="str">
        <f t="shared" si="6"/>
        <v xml:space="preserve"> Profit</v>
      </c>
      <c r="AB27" s="5" t="s">
        <v>139</v>
      </c>
      <c r="AC27" s="5" t="s">
        <v>42</v>
      </c>
      <c r="AD27" s="5" t="s">
        <v>43</v>
      </c>
      <c r="AE27" s="7" t="s">
        <v>44</v>
      </c>
      <c r="AF27" s="5" t="s">
        <v>45</v>
      </c>
      <c r="AG27" s="3">
        <v>45346</v>
      </c>
      <c r="AH27" s="3">
        <v>45352</v>
      </c>
    </row>
    <row r="28" spans="1:34" ht="12" customHeight="1">
      <c r="A28" s="3">
        <v>45343</v>
      </c>
      <c r="B28" s="5" t="s">
        <v>140</v>
      </c>
      <c r="C28" s="5" t="s">
        <v>141</v>
      </c>
      <c r="D28" s="5" t="s">
        <v>48</v>
      </c>
      <c r="E28" s="5" t="s">
        <v>37</v>
      </c>
      <c r="F28" s="5" t="str">
        <f t="shared" si="0"/>
        <v>Sugar</v>
      </c>
      <c r="G28" s="5" t="s">
        <v>57</v>
      </c>
      <c r="H28" s="5" t="s">
        <v>39</v>
      </c>
      <c r="I28" s="5" t="s">
        <v>40</v>
      </c>
      <c r="J28" s="6">
        <v>15</v>
      </c>
      <c r="K28" s="6">
        <v>405</v>
      </c>
      <c r="L28" s="6">
        <v>698.33399999999995</v>
      </c>
      <c r="M28" s="6">
        <f t="shared" si="7"/>
        <v>282825.26999999996</v>
      </c>
      <c r="N28" s="6">
        <v>6295.4440800000002</v>
      </c>
      <c r="O28" s="6">
        <v>665.08</v>
      </c>
      <c r="P28" s="6">
        <f t="shared" si="1"/>
        <v>269357.40000000002</v>
      </c>
      <c r="Q28" s="6">
        <f t="shared" si="2"/>
        <v>13467.869999999937</v>
      </c>
      <c r="R28" s="6">
        <v>15430.01</v>
      </c>
      <c r="S28" s="6">
        <v>1234.4007999999999</v>
      </c>
      <c r="T28" s="6">
        <v>0</v>
      </c>
      <c r="U28" s="6">
        <v>370.32024000000001</v>
      </c>
      <c r="V28" s="6">
        <v>508.3</v>
      </c>
      <c r="W28" s="6">
        <f t="shared" si="3"/>
        <v>6295.4440800000002</v>
      </c>
      <c r="X28" s="6">
        <f t="shared" si="4"/>
        <v>17543.031040000002</v>
      </c>
      <c r="Y28" s="6">
        <v>0</v>
      </c>
      <c r="Z28" s="6">
        <f t="shared" si="5"/>
        <v>2220.2830399999357</v>
      </c>
      <c r="AA28" s="6" t="str">
        <f t="shared" si="6"/>
        <v xml:space="preserve"> Profit</v>
      </c>
      <c r="AB28" s="5" t="s">
        <v>142</v>
      </c>
      <c r="AC28" s="5" t="s">
        <v>82</v>
      </c>
      <c r="AD28" s="5" t="s">
        <v>43</v>
      </c>
      <c r="AE28" s="7" t="s">
        <v>114</v>
      </c>
      <c r="AF28" s="7" t="s">
        <v>115</v>
      </c>
      <c r="AG28" s="3">
        <v>45347</v>
      </c>
      <c r="AH28" s="3">
        <v>45353</v>
      </c>
    </row>
    <row r="29" spans="1:34" ht="12" customHeight="1">
      <c r="A29" s="3">
        <v>45346</v>
      </c>
      <c r="B29" s="5" t="s">
        <v>143</v>
      </c>
      <c r="C29" s="5" t="s">
        <v>141</v>
      </c>
      <c r="D29" s="5" t="s">
        <v>144</v>
      </c>
      <c r="E29" s="5" t="s">
        <v>37</v>
      </c>
      <c r="F29" s="5" t="str">
        <f t="shared" si="0"/>
        <v>Sugar</v>
      </c>
      <c r="G29" s="5" t="s">
        <v>57</v>
      </c>
      <c r="H29" s="5" t="s">
        <v>39</v>
      </c>
      <c r="I29" s="5" t="s">
        <v>40</v>
      </c>
      <c r="J29" s="6">
        <v>10</v>
      </c>
      <c r="K29" s="6">
        <v>270</v>
      </c>
      <c r="L29" s="6">
        <v>698.33399999999995</v>
      </c>
      <c r="M29" s="6">
        <f t="shared" si="7"/>
        <v>188550.18</v>
      </c>
      <c r="N29" s="6">
        <v>3992.5778399999999</v>
      </c>
      <c r="O29" s="6">
        <v>665.08</v>
      </c>
      <c r="P29" s="6">
        <f t="shared" si="1"/>
        <v>179571.6</v>
      </c>
      <c r="Q29" s="6">
        <f t="shared" si="2"/>
        <v>8978.5799999999872</v>
      </c>
      <c r="R29" s="6">
        <v>9785.73</v>
      </c>
      <c r="S29" s="6">
        <v>782.85839999999996</v>
      </c>
      <c r="T29" s="6">
        <v>0</v>
      </c>
      <c r="U29" s="6">
        <v>234.85751999999999</v>
      </c>
      <c r="V29" s="6">
        <v>276.5</v>
      </c>
      <c r="W29" s="6">
        <f t="shared" si="3"/>
        <v>3992.5778399999999</v>
      </c>
      <c r="X29" s="6">
        <f t="shared" si="4"/>
        <v>11079.945919999998</v>
      </c>
      <c r="Y29" s="6">
        <v>0</v>
      </c>
      <c r="Z29" s="6">
        <f t="shared" si="5"/>
        <v>1891.2119199999888</v>
      </c>
      <c r="AA29" s="6" t="str">
        <f t="shared" si="6"/>
        <v xml:space="preserve"> Profit</v>
      </c>
      <c r="AB29" s="5" t="s">
        <v>145</v>
      </c>
      <c r="AC29" s="5" t="s">
        <v>82</v>
      </c>
      <c r="AD29" s="5" t="s">
        <v>88</v>
      </c>
      <c r="AE29" s="7" t="s">
        <v>67</v>
      </c>
      <c r="AF29" s="7" t="s">
        <v>146</v>
      </c>
      <c r="AG29" s="3">
        <v>45350</v>
      </c>
      <c r="AH29" s="3">
        <v>45356</v>
      </c>
    </row>
    <row r="30" spans="1:34" ht="12" customHeight="1">
      <c r="A30" s="3">
        <v>45346</v>
      </c>
      <c r="B30" s="5" t="s">
        <v>147</v>
      </c>
      <c r="C30" s="5" t="s">
        <v>134</v>
      </c>
      <c r="D30" s="5" t="s">
        <v>62</v>
      </c>
      <c r="E30" s="5" t="s">
        <v>37</v>
      </c>
      <c r="F30" s="5" t="str">
        <f t="shared" si="0"/>
        <v>Sugar</v>
      </c>
      <c r="G30" s="5" t="s">
        <v>49</v>
      </c>
      <c r="H30" s="5" t="s">
        <v>39</v>
      </c>
      <c r="I30" s="5" t="s">
        <v>40</v>
      </c>
      <c r="J30" s="6">
        <v>30</v>
      </c>
      <c r="K30" s="6">
        <v>810</v>
      </c>
      <c r="L30" s="6">
        <v>698.33399999999995</v>
      </c>
      <c r="M30" s="6">
        <f t="shared" si="7"/>
        <v>565650.53999999992</v>
      </c>
      <c r="N30" s="6">
        <v>12056.4</v>
      </c>
      <c r="O30" s="6">
        <v>665.08</v>
      </c>
      <c r="P30" s="6">
        <f t="shared" si="1"/>
        <v>538714.80000000005</v>
      </c>
      <c r="Q30" s="6">
        <f t="shared" si="2"/>
        <v>26935.739999999874</v>
      </c>
      <c r="R30" s="6">
        <v>29550</v>
      </c>
      <c r="S30" s="6">
        <v>2364</v>
      </c>
      <c r="T30" s="6">
        <v>0</v>
      </c>
      <c r="U30" s="6">
        <v>709.2</v>
      </c>
      <c r="V30" s="6">
        <v>166</v>
      </c>
      <c r="W30" s="6">
        <f t="shared" si="3"/>
        <v>12056.4</v>
      </c>
      <c r="X30" s="6">
        <f t="shared" si="4"/>
        <v>32789.199999999997</v>
      </c>
      <c r="Y30" s="6">
        <v>0</v>
      </c>
      <c r="Z30" s="6">
        <f t="shared" si="5"/>
        <v>6202.9399999998768</v>
      </c>
      <c r="AA30" s="6" t="str">
        <f t="shared" si="6"/>
        <v xml:space="preserve"> Profit</v>
      </c>
      <c r="AB30" s="5" t="s">
        <v>148</v>
      </c>
      <c r="AC30" s="5" t="s">
        <v>82</v>
      </c>
      <c r="AD30" s="5" t="s">
        <v>88</v>
      </c>
      <c r="AE30" s="7" t="s">
        <v>67</v>
      </c>
      <c r="AF30" s="7" t="s">
        <v>146</v>
      </c>
      <c r="AG30" s="3">
        <v>45350</v>
      </c>
      <c r="AH30" s="3">
        <v>45356</v>
      </c>
    </row>
    <row r="31" spans="1:34" ht="12" customHeight="1">
      <c r="A31" s="3">
        <v>45348</v>
      </c>
      <c r="B31" s="5" t="s">
        <v>149</v>
      </c>
      <c r="C31" s="5" t="s">
        <v>150</v>
      </c>
      <c r="D31" s="5" t="s">
        <v>85</v>
      </c>
      <c r="E31" s="5" t="s">
        <v>37</v>
      </c>
      <c r="F31" s="5" t="str">
        <f t="shared" si="0"/>
        <v>Sugar</v>
      </c>
      <c r="G31" s="5" t="s">
        <v>86</v>
      </c>
      <c r="H31" s="5" t="s">
        <v>39</v>
      </c>
      <c r="I31" s="5" t="s">
        <v>80</v>
      </c>
      <c r="J31" s="6">
        <v>20</v>
      </c>
      <c r="K31" s="6">
        <v>540</v>
      </c>
      <c r="L31" s="6">
        <v>656.25</v>
      </c>
      <c r="M31" s="6">
        <f t="shared" si="7"/>
        <v>354375</v>
      </c>
      <c r="N31" s="6">
        <v>10195.83432</v>
      </c>
      <c r="O31" s="6">
        <v>625</v>
      </c>
      <c r="P31" s="6">
        <f t="shared" si="1"/>
        <v>337500</v>
      </c>
      <c r="Q31" s="6">
        <f t="shared" si="2"/>
        <v>16875</v>
      </c>
      <c r="R31" s="6">
        <v>24989.79</v>
      </c>
      <c r="S31" s="6">
        <v>0</v>
      </c>
      <c r="T31" s="6">
        <v>0</v>
      </c>
      <c r="U31" s="6">
        <v>0</v>
      </c>
      <c r="V31" s="6">
        <v>71.459999999999994</v>
      </c>
      <c r="W31" s="6">
        <f t="shared" si="3"/>
        <v>10195.83432</v>
      </c>
      <c r="X31" s="6">
        <f t="shared" si="4"/>
        <v>25061.25</v>
      </c>
      <c r="Y31" s="6">
        <v>0</v>
      </c>
      <c r="Z31" s="6">
        <f t="shared" si="5"/>
        <v>2009.5843199999999</v>
      </c>
      <c r="AA31" s="6" t="str">
        <f t="shared" si="6"/>
        <v xml:space="preserve"> Profit</v>
      </c>
      <c r="AB31" s="5" t="s">
        <v>151</v>
      </c>
      <c r="AC31" s="5" t="s">
        <v>82</v>
      </c>
      <c r="AD31" s="5" t="s">
        <v>88</v>
      </c>
      <c r="AE31" s="7" t="s">
        <v>67</v>
      </c>
      <c r="AF31" s="7" t="s">
        <v>146</v>
      </c>
      <c r="AG31" s="3">
        <v>45352</v>
      </c>
      <c r="AH31" s="3">
        <v>45358</v>
      </c>
    </row>
    <row r="32" spans="1:34" ht="12" customHeight="1">
      <c r="A32" s="3">
        <v>45353</v>
      </c>
      <c r="B32" s="5" t="s">
        <v>152</v>
      </c>
      <c r="C32" s="5" t="s">
        <v>153</v>
      </c>
      <c r="D32" s="5" t="s">
        <v>154</v>
      </c>
      <c r="E32" s="5" t="s">
        <v>37</v>
      </c>
      <c r="F32" s="5" t="str">
        <f t="shared" si="0"/>
        <v>Sugar</v>
      </c>
      <c r="G32" s="5" t="s">
        <v>38</v>
      </c>
      <c r="H32" s="5" t="s">
        <v>39</v>
      </c>
      <c r="I32" s="5" t="s">
        <v>80</v>
      </c>
      <c r="J32" s="6">
        <v>20</v>
      </c>
      <c r="K32" s="6">
        <v>540</v>
      </c>
      <c r="L32" s="6">
        <v>666.75</v>
      </c>
      <c r="M32" s="6">
        <f t="shared" si="7"/>
        <v>360045</v>
      </c>
      <c r="N32" s="6">
        <v>8348.9080799999992</v>
      </c>
      <c r="O32" s="6">
        <v>635</v>
      </c>
      <c r="P32" s="6">
        <f t="shared" si="1"/>
        <v>342900</v>
      </c>
      <c r="Q32" s="6">
        <f t="shared" si="2"/>
        <v>17145</v>
      </c>
      <c r="R32" s="6">
        <v>20463.009999999998</v>
      </c>
      <c r="S32" s="6">
        <v>0</v>
      </c>
      <c r="T32" s="6">
        <v>0</v>
      </c>
      <c r="U32" s="6">
        <v>0</v>
      </c>
      <c r="V32" s="6">
        <v>100.5</v>
      </c>
      <c r="W32" s="6">
        <f t="shared" si="3"/>
        <v>8348.9080799999992</v>
      </c>
      <c r="X32" s="6">
        <f t="shared" si="4"/>
        <v>20563.509999999998</v>
      </c>
      <c r="Y32" s="6">
        <v>0</v>
      </c>
      <c r="Z32" s="6">
        <f t="shared" si="5"/>
        <v>4930.3980800000008</v>
      </c>
      <c r="AA32" s="6" t="str">
        <f t="shared" si="6"/>
        <v xml:space="preserve"> Profit</v>
      </c>
      <c r="AB32" s="5" t="s">
        <v>155</v>
      </c>
      <c r="AC32" s="5" t="s">
        <v>82</v>
      </c>
      <c r="AD32" s="5" t="s">
        <v>88</v>
      </c>
      <c r="AE32" s="7" t="s">
        <v>67</v>
      </c>
      <c r="AF32" s="7" t="s">
        <v>146</v>
      </c>
      <c r="AG32" s="3">
        <v>45357</v>
      </c>
      <c r="AH32" s="3">
        <v>45363</v>
      </c>
    </row>
    <row r="33" spans="1:34" ht="12" customHeight="1">
      <c r="A33" s="3">
        <v>45355</v>
      </c>
      <c r="B33" s="5" t="s">
        <v>156</v>
      </c>
      <c r="C33" s="5" t="s">
        <v>52</v>
      </c>
      <c r="D33" s="5" t="s">
        <v>48</v>
      </c>
      <c r="E33" s="5" t="s">
        <v>157</v>
      </c>
      <c r="F33" s="5" t="str">
        <f t="shared" si="0"/>
        <v>Sugar</v>
      </c>
      <c r="G33" s="5" t="s">
        <v>38</v>
      </c>
      <c r="H33" s="5" t="s">
        <v>57</v>
      </c>
      <c r="I33" s="5" t="s">
        <v>58</v>
      </c>
      <c r="J33" s="6">
        <v>0</v>
      </c>
      <c r="K33" s="6">
        <v>0.35</v>
      </c>
      <c r="L33" s="6">
        <v>985</v>
      </c>
      <c r="M33" s="6">
        <f t="shared" si="7"/>
        <v>344.75</v>
      </c>
      <c r="N33" s="6">
        <v>0</v>
      </c>
      <c r="O33" s="6">
        <v>550</v>
      </c>
      <c r="P33" s="6">
        <f t="shared" si="1"/>
        <v>192.5</v>
      </c>
      <c r="Q33" s="6">
        <f t="shared" si="2"/>
        <v>152.25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f t="shared" si="3"/>
        <v>0</v>
      </c>
      <c r="X33" s="6">
        <f t="shared" si="4"/>
        <v>0</v>
      </c>
      <c r="Y33" s="6">
        <v>0</v>
      </c>
      <c r="Z33" s="6">
        <f t="shared" si="5"/>
        <v>152.25</v>
      </c>
      <c r="AA33" s="6" t="str">
        <f t="shared" si="6"/>
        <v xml:space="preserve"> Profit</v>
      </c>
      <c r="AB33" s="5" t="s">
        <v>956</v>
      </c>
      <c r="AC33" s="5" t="s">
        <v>159</v>
      </c>
      <c r="AD33" s="5" t="s">
        <v>160</v>
      </c>
      <c r="AE33" s="5" t="s">
        <v>161</v>
      </c>
      <c r="AF33" s="5" t="s">
        <v>45</v>
      </c>
      <c r="AG33" s="3">
        <v>45939</v>
      </c>
      <c r="AH33" s="3">
        <v>45945</v>
      </c>
    </row>
    <row r="34" spans="1:34" ht="12" customHeight="1">
      <c r="A34" s="3">
        <v>45355</v>
      </c>
      <c r="B34" s="5" t="s">
        <v>162</v>
      </c>
      <c r="C34" s="5" t="s">
        <v>163</v>
      </c>
      <c r="D34" s="5" t="s">
        <v>48</v>
      </c>
      <c r="E34" s="5" t="s">
        <v>63</v>
      </c>
      <c r="F34" s="5" t="str">
        <f t="shared" si="0"/>
        <v>Rice</v>
      </c>
      <c r="G34" s="5" t="s">
        <v>49</v>
      </c>
      <c r="H34" s="5" t="s">
        <v>64</v>
      </c>
      <c r="I34" s="5" t="s">
        <v>80</v>
      </c>
      <c r="J34" s="6">
        <v>20</v>
      </c>
      <c r="K34" s="6">
        <v>520</v>
      </c>
      <c r="L34" s="6">
        <v>498.75</v>
      </c>
      <c r="M34" s="6">
        <f t="shared" si="7"/>
        <v>259350</v>
      </c>
      <c r="N34" s="6">
        <v>27871.7811351573</v>
      </c>
      <c r="O34" s="6">
        <v>490</v>
      </c>
      <c r="P34" s="6">
        <f t="shared" si="1"/>
        <v>254800</v>
      </c>
      <c r="Q34" s="6">
        <f t="shared" si="2"/>
        <v>4550</v>
      </c>
      <c r="R34" s="6">
        <v>68313.189056757896</v>
      </c>
      <c r="S34" s="6">
        <v>0</v>
      </c>
      <c r="T34" s="6">
        <v>0</v>
      </c>
      <c r="U34" s="6">
        <v>0</v>
      </c>
      <c r="V34" s="6">
        <v>326.81</v>
      </c>
      <c r="W34" s="6">
        <f t="shared" si="3"/>
        <v>27871.7811351573</v>
      </c>
      <c r="X34" s="6">
        <f t="shared" si="4"/>
        <v>68639.999056757893</v>
      </c>
      <c r="Y34" s="6">
        <v>0</v>
      </c>
      <c r="Z34" s="6">
        <f t="shared" si="5"/>
        <v>-36218.21792160059</v>
      </c>
      <c r="AA34" s="6" t="str">
        <f t="shared" si="6"/>
        <v xml:space="preserve"> Loss</v>
      </c>
      <c r="AB34" s="5" t="s">
        <v>164</v>
      </c>
      <c r="AC34" s="5" t="s">
        <v>66</v>
      </c>
      <c r="AD34" s="5" t="s">
        <v>67</v>
      </c>
      <c r="AE34" s="7" t="s">
        <v>67</v>
      </c>
      <c r="AF34" s="7" t="s">
        <v>146</v>
      </c>
      <c r="AG34" s="3">
        <v>45359</v>
      </c>
      <c r="AH34" s="3">
        <v>45365</v>
      </c>
    </row>
    <row r="35" spans="1:34" ht="12" customHeight="1">
      <c r="A35" s="3">
        <v>45361</v>
      </c>
      <c r="B35" s="5" t="s">
        <v>165</v>
      </c>
      <c r="C35" s="5" t="s">
        <v>166</v>
      </c>
      <c r="D35" s="5" t="s">
        <v>62</v>
      </c>
      <c r="E35" s="5" t="s">
        <v>63</v>
      </c>
      <c r="F35" s="5" t="str">
        <f t="shared" si="0"/>
        <v>Rice</v>
      </c>
      <c r="G35" s="5" t="s">
        <v>49</v>
      </c>
      <c r="H35" s="5" t="s">
        <v>64</v>
      </c>
      <c r="I35" s="5" t="s">
        <v>80</v>
      </c>
      <c r="J35" s="6">
        <v>30</v>
      </c>
      <c r="K35" s="6">
        <v>780</v>
      </c>
      <c r="L35" s="6">
        <v>582.75</v>
      </c>
      <c r="M35" s="6">
        <f t="shared" si="7"/>
        <v>454545</v>
      </c>
      <c r="N35" s="6">
        <v>20914.0122498979</v>
      </c>
      <c r="O35" s="6">
        <v>580</v>
      </c>
      <c r="P35" s="6">
        <f t="shared" si="1"/>
        <v>452400</v>
      </c>
      <c r="Q35" s="6">
        <f t="shared" si="2"/>
        <v>2145</v>
      </c>
      <c r="R35" s="6">
        <v>51259.833945828199</v>
      </c>
      <c r="S35" s="6">
        <v>0</v>
      </c>
      <c r="T35" s="6">
        <v>0</v>
      </c>
      <c r="U35" s="6">
        <v>0</v>
      </c>
      <c r="V35" s="6">
        <v>220.17</v>
      </c>
      <c r="W35" s="6">
        <f t="shared" si="3"/>
        <v>20914.0122498979</v>
      </c>
      <c r="X35" s="6">
        <f t="shared" si="4"/>
        <v>51480.003945828197</v>
      </c>
      <c r="Y35" s="6">
        <v>0</v>
      </c>
      <c r="Z35" s="6">
        <f t="shared" si="5"/>
        <v>-28420.991695930297</v>
      </c>
      <c r="AA35" s="6" t="str">
        <f t="shared" si="6"/>
        <v xml:space="preserve"> Loss</v>
      </c>
      <c r="AB35" s="5" t="s">
        <v>167</v>
      </c>
      <c r="AC35" s="5" t="s">
        <v>168</v>
      </c>
      <c r="AD35" s="5" t="s">
        <v>43</v>
      </c>
      <c r="AE35" s="7" t="s">
        <v>44</v>
      </c>
      <c r="AF35" s="5" t="s">
        <v>45</v>
      </c>
      <c r="AG35" s="3">
        <v>45365</v>
      </c>
      <c r="AH35" s="3">
        <v>45371</v>
      </c>
    </row>
    <row r="36" spans="1:34" ht="12" customHeight="1">
      <c r="A36" s="3">
        <v>45361</v>
      </c>
      <c r="B36" s="5" t="s">
        <v>169</v>
      </c>
      <c r="C36" s="5" t="s">
        <v>170</v>
      </c>
      <c r="D36" s="5" t="s">
        <v>91</v>
      </c>
      <c r="E36" s="5" t="s">
        <v>37</v>
      </c>
      <c r="F36" s="5" t="str">
        <f t="shared" si="0"/>
        <v>Sugar</v>
      </c>
      <c r="G36" s="5" t="s">
        <v>86</v>
      </c>
      <c r="H36" s="5" t="s">
        <v>39</v>
      </c>
      <c r="I36" s="5" t="s">
        <v>80</v>
      </c>
      <c r="J36" s="6">
        <v>30</v>
      </c>
      <c r="K36" s="6">
        <v>825</v>
      </c>
      <c r="L36" s="6">
        <v>657.26850000000002</v>
      </c>
      <c r="M36" s="6">
        <f t="shared" si="7"/>
        <v>542246.51250000007</v>
      </c>
      <c r="N36" s="6">
        <v>16035.11808</v>
      </c>
      <c r="O36" s="6">
        <v>655</v>
      </c>
      <c r="P36" s="6">
        <f t="shared" si="1"/>
        <v>540375</v>
      </c>
      <c r="Q36" s="6">
        <f t="shared" si="2"/>
        <v>1871.5125000000698</v>
      </c>
      <c r="R36" s="6">
        <v>39301.760000000002</v>
      </c>
      <c r="S36" s="6">
        <v>0</v>
      </c>
      <c r="T36" s="6">
        <v>0</v>
      </c>
      <c r="U36" s="6">
        <v>0</v>
      </c>
      <c r="V36" s="6">
        <v>77.2</v>
      </c>
      <c r="W36" s="6">
        <f t="shared" si="3"/>
        <v>16035.11808</v>
      </c>
      <c r="X36" s="6">
        <f t="shared" si="4"/>
        <v>39378.959999999999</v>
      </c>
      <c r="Y36" s="6">
        <v>0</v>
      </c>
      <c r="Z36" s="6">
        <f t="shared" si="5"/>
        <v>-21472.329419999929</v>
      </c>
      <c r="AA36" s="6" t="str">
        <f t="shared" si="6"/>
        <v xml:space="preserve"> Loss</v>
      </c>
      <c r="AB36" s="5" t="s">
        <v>171</v>
      </c>
      <c r="AC36" s="5" t="s">
        <v>42</v>
      </c>
      <c r="AD36" s="5" t="s">
        <v>43</v>
      </c>
      <c r="AE36" s="7" t="s">
        <v>44</v>
      </c>
      <c r="AF36" s="5" t="s">
        <v>45</v>
      </c>
      <c r="AG36" s="3">
        <v>45365</v>
      </c>
      <c r="AH36" s="3">
        <v>45371</v>
      </c>
    </row>
    <row r="37" spans="1:34" ht="12" customHeight="1">
      <c r="A37" s="3">
        <v>45362</v>
      </c>
      <c r="B37" s="5" t="s">
        <v>172</v>
      </c>
      <c r="C37" s="5" t="s">
        <v>173</v>
      </c>
      <c r="D37" s="5" t="s">
        <v>85</v>
      </c>
      <c r="E37" s="5" t="s">
        <v>63</v>
      </c>
      <c r="F37" s="5" t="str">
        <f t="shared" si="0"/>
        <v>Rice</v>
      </c>
      <c r="G37" s="5" t="s">
        <v>57</v>
      </c>
      <c r="H37" s="5" t="s">
        <v>64</v>
      </c>
      <c r="I37" s="5" t="s">
        <v>58</v>
      </c>
      <c r="J37" s="6">
        <v>50</v>
      </c>
      <c r="K37" s="6">
        <v>1350</v>
      </c>
      <c r="L37" s="6">
        <v>546</v>
      </c>
      <c r="M37" s="6">
        <f t="shared" si="7"/>
        <v>737100</v>
      </c>
      <c r="N37" s="6">
        <v>0</v>
      </c>
      <c r="O37" s="6">
        <v>544</v>
      </c>
      <c r="P37" s="6">
        <f t="shared" si="1"/>
        <v>734400</v>
      </c>
      <c r="Q37" s="6">
        <f t="shared" si="2"/>
        <v>2700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f t="shared" si="3"/>
        <v>0</v>
      </c>
      <c r="X37" s="6">
        <f t="shared" si="4"/>
        <v>0</v>
      </c>
      <c r="Y37" s="6">
        <v>0</v>
      </c>
      <c r="Z37" s="6">
        <f t="shared" si="5"/>
        <v>2700</v>
      </c>
      <c r="AA37" s="6" t="str">
        <f t="shared" si="6"/>
        <v xml:space="preserve"> Profit</v>
      </c>
      <c r="AB37" s="5" t="s">
        <v>174</v>
      </c>
      <c r="AC37" s="5" t="s">
        <v>42</v>
      </c>
      <c r="AD37" s="5" t="s">
        <v>43</v>
      </c>
      <c r="AE37" s="7" t="s">
        <v>44</v>
      </c>
      <c r="AF37" s="5" t="s">
        <v>45</v>
      </c>
      <c r="AG37" s="3">
        <v>45366</v>
      </c>
      <c r="AH37" s="3">
        <v>45372</v>
      </c>
    </row>
    <row r="38" spans="1:34" ht="12" customHeight="1">
      <c r="A38" s="3">
        <v>45363</v>
      </c>
      <c r="B38" s="5" t="s">
        <v>175</v>
      </c>
      <c r="C38" s="5" t="s">
        <v>176</v>
      </c>
      <c r="D38" s="5" t="s">
        <v>53</v>
      </c>
      <c r="E38" s="5" t="s">
        <v>37</v>
      </c>
      <c r="F38" s="5" t="str">
        <f t="shared" si="0"/>
        <v>Sugar</v>
      </c>
      <c r="G38" s="5" t="s">
        <v>38</v>
      </c>
      <c r="H38" s="5" t="s">
        <v>39</v>
      </c>
      <c r="I38" s="5" t="s">
        <v>80</v>
      </c>
      <c r="J38" s="6">
        <v>10</v>
      </c>
      <c r="K38" s="6">
        <v>270</v>
      </c>
      <c r="L38" s="6">
        <v>640</v>
      </c>
      <c r="M38" s="6">
        <f t="shared" si="7"/>
        <v>172800</v>
      </c>
      <c r="N38" s="6">
        <v>1736.9172000000001</v>
      </c>
      <c r="O38" s="6">
        <v>642.5</v>
      </c>
      <c r="P38" s="6">
        <f t="shared" si="1"/>
        <v>173475</v>
      </c>
      <c r="Q38" s="6">
        <f t="shared" si="2"/>
        <v>-675</v>
      </c>
      <c r="R38" s="6">
        <v>4257.1499999999996</v>
      </c>
      <c r="S38" s="6">
        <v>0</v>
      </c>
      <c r="T38" s="6">
        <v>0</v>
      </c>
      <c r="U38" s="6">
        <v>0</v>
      </c>
      <c r="V38" s="6">
        <v>2499.58</v>
      </c>
      <c r="W38" s="6">
        <f t="shared" si="3"/>
        <v>5256.9171999999999</v>
      </c>
      <c r="X38" s="6">
        <f t="shared" si="4"/>
        <v>6756.73</v>
      </c>
      <c r="Y38" s="6">
        <v>3520</v>
      </c>
      <c r="Z38" s="6">
        <f t="shared" si="5"/>
        <v>-2174.8127999999997</v>
      </c>
      <c r="AA38" s="6" t="str">
        <f t="shared" si="6"/>
        <v xml:space="preserve"> Loss</v>
      </c>
      <c r="AB38" s="5" t="s">
        <v>177</v>
      </c>
      <c r="AC38" s="5" t="s">
        <v>42</v>
      </c>
      <c r="AD38" s="5" t="s">
        <v>43</v>
      </c>
      <c r="AE38" s="7" t="s">
        <v>44</v>
      </c>
      <c r="AF38" s="5" t="s">
        <v>45</v>
      </c>
      <c r="AG38" s="3">
        <v>45367</v>
      </c>
      <c r="AH38" s="3">
        <v>45373</v>
      </c>
    </row>
    <row r="39" spans="1:34" ht="12" customHeight="1">
      <c r="A39" s="3">
        <v>45367</v>
      </c>
      <c r="B39" s="5" t="s">
        <v>178</v>
      </c>
      <c r="C39" s="5" t="s">
        <v>173</v>
      </c>
      <c r="D39" s="5" t="s">
        <v>91</v>
      </c>
      <c r="E39" s="5" t="s">
        <v>63</v>
      </c>
      <c r="F39" s="5" t="str">
        <f t="shared" si="0"/>
        <v>Rice</v>
      </c>
      <c r="G39" s="5" t="s">
        <v>57</v>
      </c>
      <c r="H39" s="5" t="s">
        <v>64</v>
      </c>
      <c r="I39" s="5" t="s">
        <v>58</v>
      </c>
      <c r="J39" s="6">
        <v>50</v>
      </c>
      <c r="K39" s="6">
        <v>1350</v>
      </c>
      <c r="L39" s="6">
        <v>572.25</v>
      </c>
      <c r="M39" s="6">
        <f t="shared" si="7"/>
        <v>772537.5</v>
      </c>
      <c r="N39" s="6">
        <v>0</v>
      </c>
      <c r="O39" s="6">
        <v>545</v>
      </c>
      <c r="P39" s="6">
        <f t="shared" si="1"/>
        <v>735750</v>
      </c>
      <c r="Q39" s="6">
        <f t="shared" si="2"/>
        <v>36787.5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f t="shared" si="3"/>
        <v>0</v>
      </c>
      <c r="X39" s="6">
        <f t="shared" si="4"/>
        <v>0</v>
      </c>
      <c r="Y39" s="6">
        <v>0</v>
      </c>
      <c r="Z39" s="6">
        <f t="shared" si="5"/>
        <v>36787.5</v>
      </c>
      <c r="AA39" s="6" t="str">
        <f t="shared" si="6"/>
        <v xml:space="preserve"> Profit</v>
      </c>
      <c r="AB39" s="5" t="s">
        <v>179</v>
      </c>
      <c r="AC39" s="5" t="s">
        <v>42</v>
      </c>
      <c r="AD39" s="5" t="s">
        <v>43</v>
      </c>
      <c r="AE39" s="7" t="s">
        <v>44</v>
      </c>
      <c r="AF39" s="5" t="s">
        <v>45</v>
      </c>
      <c r="AG39" s="3">
        <v>45371</v>
      </c>
      <c r="AH39" s="3">
        <v>45377</v>
      </c>
    </row>
    <row r="40" spans="1:34" ht="12" customHeight="1">
      <c r="A40" s="3">
        <v>45369</v>
      </c>
      <c r="B40" s="5" t="s">
        <v>180</v>
      </c>
      <c r="C40" s="5" t="s">
        <v>181</v>
      </c>
      <c r="D40" s="5" t="s">
        <v>182</v>
      </c>
      <c r="E40" s="5" t="s">
        <v>37</v>
      </c>
      <c r="F40" s="5" t="str">
        <f t="shared" si="0"/>
        <v>Sugar</v>
      </c>
      <c r="G40" s="5" t="s">
        <v>38</v>
      </c>
      <c r="H40" s="5" t="s">
        <v>39</v>
      </c>
      <c r="I40" s="5" t="s">
        <v>58</v>
      </c>
      <c r="J40" s="6">
        <v>50</v>
      </c>
      <c r="K40" s="6">
        <v>1350</v>
      </c>
      <c r="L40" s="6">
        <v>477.75</v>
      </c>
      <c r="M40" s="6">
        <f t="shared" si="7"/>
        <v>644962.5</v>
      </c>
      <c r="N40" s="6">
        <v>0</v>
      </c>
      <c r="O40" s="6">
        <v>455</v>
      </c>
      <c r="P40" s="6">
        <f t="shared" si="1"/>
        <v>614250</v>
      </c>
      <c r="Q40" s="6">
        <f t="shared" si="2"/>
        <v>30712.5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f t="shared" si="3"/>
        <v>0</v>
      </c>
      <c r="X40" s="6">
        <f t="shared" si="4"/>
        <v>0</v>
      </c>
      <c r="Y40" s="6">
        <v>0</v>
      </c>
      <c r="Z40" s="6">
        <f t="shared" si="5"/>
        <v>30712.5</v>
      </c>
      <c r="AA40" s="6" t="str">
        <f t="shared" si="6"/>
        <v xml:space="preserve"> Profit</v>
      </c>
      <c r="AB40" s="5" t="s">
        <v>183</v>
      </c>
      <c r="AC40" s="5" t="s">
        <v>184</v>
      </c>
      <c r="AD40" s="5" t="s">
        <v>67</v>
      </c>
      <c r="AE40" s="8" t="s">
        <v>185</v>
      </c>
      <c r="AF40" s="8" t="s">
        <v>185</v>
      </c>
      <c r="AG40" s="3">
        <v>45373</v>
      </c>
      <c r="AH40" s="3">
        <v>45379</v>
      </c>
    </row>
    <row r="41" spans="1:34" ht="12" customHeight="1">
      <c r="A41" s="3">
        <v>45368</v>
      </c>
      <c r="B41" s="5" t="s">
        <v>186</v>
      </c>
      <c r="C41" s="5" t="s">
        <v>187</v>
      </c>
      <c r="D41" s="5" t="s">
        <v>36</v>
      </c>
      <c r="E41" s="5" t="s">
        <v>63</v>
      </c>
      <c r="F41" s="5" t="str">
        <f t="shared" si="0"/>
        <v>Rice</v>
      </c>
      <c r="G41" s="5" t="s">
        <v>49</v>
      </c>
      <c r="H41" s="5" t="s">
        <v>64</v>
      </c>
      <c r="I41" s="5" t="s">
        <v>80</v>
      </c>
      <c r="J41" s="6">
        <v>30</v>
      </c>
      <c r="K41" s="6">
        <v>260</v>
      </c>
      <c r="L41" s="6">
        <v>477.75</v>
      </c>
      <c r="M41" s="6">
        <f t="shared" si="7"/>
        <v>124215</v>
      </c>
      <c r="N41" s="6">
        <v>20914.067760000002</v>
      </c>
      <c r="O41" s="6">
        <v>455</v>
      </c>
      <c r="P41" s="6">
        <f t="shared" si="1"/>
        <v>118300</v>
      </c>
      <c r="Q41" s="6">
        <f t="shared" si="2"/>
        <v>5915</v>
      </c>
      <c r="R41" s="6">
        <v>51259.97</v>
      </c>
      <c r="S41" s="6">
        <v>0</v>
      </c>
      <c r="T41" s="6">
        <v>0</v>
      </c>
      <c r="U41" s="6">
        <v>0</v>
      </c>
      <c r="V41" s="6">
        <v>220.03</v>
      </c>
      <c r="W41" s="6">
        <f t="shared" si="3"/>
        <v>20914.067760000002</v>
      </c>
      <c r="X41" s="6">
        <f t="shared" si="4"/>
        <v>51480</v>
      </c>
      <c r="Y41" s="6">
        <v>0</v>
      </c>
      <c r="Z41" s="6">
        <f t="shared" si="5"/>
        <v>-24650.932239999998</v>
      </c>
      <c r="AA41" s="6" t="str">
        <f t="shared" si="6"/>
        <v xml:space="preserve"> Loss</v>
      </c>
      <c r="AB41" s="5" t="s">
        <v>188</v>
      </c>
      <c r="AC41" s="5" t="s">
        <v>189</v>
      </c>
      <c r="AD41" s="5" t="s">
        <v>67</v>
      </c>
      <c r="AE41" s="7" t="s">
        <v>114</v>
      </c>
      <c r="AF41" s="7" t="s">
        <v>115</v>
      </c>
      <c r="AG41" s="3">
        <v>45372</v>
      </c>
      <c r="AH41" s="3">
        <v>45378</v>
      </c>
    </row>
    <row r="42" spans="1:34" ht="12" customHeight="1">
      <c r="A42" s="3">
        <v>45372</v>
      </c>
      <c r="B42" s="5" t="s">
        <v>190</v>
      </c>
      <c r="C42" s="5" t="s">
        <v>191</v>
      </c>
      <c r="D42" s="5" t="s">
        <v>48</v>
      </c>
      <c r="E42" s="5" t="s">
        <v>63</v>
      </c>
      <c r="F42" s="5" t="str">
        <f t="shared" si="0"/>
        <v>Rice</v>
      </c>
      <c r="G42" s="5" t="s">
        <v>57</v>
      </c>
      <c r="H42" s="5" t="s">
        <v>64</v>
      </c>
      <c r="I42" s="5" t="s">
        <v>58</v>
      </c>
      <c r="J42" s="6">
        <v>50</v>
      </c>
      <c r="K42" s="6">
        <v>1300</v>
      </c>
      <c r="L42" s="6">
        <v>602.17499999999995</v>
      </c>
      <c r="M42" s="6">
        <f t="shared" si="7"/>
        <v>782827.49999999988</v>
      </c>
      <c r="N42" s="6">
        <v>0</v>
      </c>
      <c r="O42" s="6">
        <v>573.5</v>
      </c>
      <c r="P42" s="6">
        <f t="shared" si="1"/>
        <v>745550</v>
      </c>
      <c r="Q42" s="6">
        <f t="shared" si="2"/>
        <v>37277.499999999884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f t="shared" si="3"/>
        <v>0</v>
      </c>
      <c r="X42" s="6">
        <f t="shared" si="4"/>
        <v>0</v>
      </c>
      <c r="Y42" s="6">
        <v>0</v>
      </c>
      <c r="Z42" s="6">
        <f t="shared" si="5"/>
        <v>37277.499999999884</v>
      </c>
      <c r="AA42" s="6" t="str">
        <f t="shared" si="6"/>
        <v xml:space="preserve"> Profit</v>
      </c>
      <c r="AB42" s="5" t="s">
        <v>192</v>
      </c>
      <c r="AC42" s="5" t="s">
        <v>193</v>
      </c>
      <c r="AD42" s="5" t="s">
        <v>67</v>
      </c>
      <c r="AE42" s="8" t="s">
        <v>185</v>
      </c>
      <c r="AF42" s="8" t="s">
        <v>185</v>
      </c>
      <c r="AG42" s="3">
        <v>45376</v>
      </c>
      <c r="AH42" s="3">
        <v>45382</v>
      </c>
    </row>
    <row r="43" spans="1:34" ht="12" customHeight="1">
      <c r="A43" s="3">
        <v>45373</v>
      </c>
      <c r="B43" s="5" t="s">
        <v>194</v>
      </c>
      <c r="C43" s="5" t="s">
        <v>191</v>
      </c>
      <c r="D43" s="5" t="s">
        <v>36</v>
      </c>
      <c r="E43" s="5" t="s">
        <v>63</v>
      </c>
      <c r="F43" s="5" t="str">
        <f t="shared" si="0"/>
        <v>Rice</v>
      </c>
      <c r="G43" s="5" t="s">
        <v>57</v>
      </c>
      <c r="H43" s="5" t="s">
        <v>64</v>
      </c>
      <c r="I43" s="5" t="s">
        <v>58</v>
      </c>
      <c r="J43" s="6">
        <v>50</v>
      </c>
      <c r="K43" s="6">
        <v>1300</v>
      </c>
      <c r="L43" s="6">
        <v>602.17499999999995</v>
      </c>
      <c r="M43" s="6">
        <f t="shared" si="7"/>
        <v>782827.49999999988</v>
      </c>
      <c r="N43" s="6">
        <v>0</v>
      </c>
      <c r="O43" s="6">
        <v>573.5</v>
      </c>
      <c r="P43" s="6">
        <f t="shared" si="1"/>
        <v>745550</v>
      </c>
      <c r="Q43" s="6">
        <f t="shared" si="2"/>
        <v>37277.499999999884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f t="shared" si="3"/>
        <v>0</v>
      </c>
      <c r="X43" s="6">
        <f t="shared" si="4"/>
        <v>0</v>
      </c>
      <c r="Y43" s="6">
        <v>0</v>
      </c>
      <c r="Z43" s="6">
        <f t="shared" si="5"/>
        <v>37277.499999999884</v>
      </c>
      <c r="AA43" s="6" t="str">
        <f t="shared" si="6"/>
        <v xml:space="preserve"> Profit</v>
      </c>
      <c r="AB43" s="5" t="s">
        <v>195</v>
      </c>
      <c r="AC43" s="5" t="s">
        <v>66</v>
      </c>
      <c r="AD43" s="5" t="s">
        <v>67</v>
      </c>
      <c r="AE43" s="7" t="s">
        <v>44</v>
      </c>
      <c r="AF43" s="5" t="s">
        <v>45</v>
      </c>
      <c r="AG43" s="3">
        <v>45377</v>
      </c>
      <c r="AH43" s="3">
        <v>45383</v>
      </c>
    </row>
    <row r="44" spans="1:34" ht="12" customHeight="1">
      <c r="A44" s="3">
        <v>45378</v>
      </c>
      <c r="B44" s="5" t="s">
        <v>196</v>
      </c>
      <c r="C44" s="5" t="s">
        <v>197</v>
      </c>
      <c r="D44" s="5" t="s">
        <v>36</v>
      </c>
      <c r="E44" s="5" t="s">
        <v>37</v>
      </c>
      <c r="F44" s="5" t="str">
        <f t="shared" si="0"/>
        <v>Sugar</v>
      </c>
      <c r="G44" s="5" t="s">
        <v>38</v>
      </c>
      <c r="H44" s="5" t="s">
        <v>39</v>
      </c>
      <c r="I44" s="5" t="s">
        <v>58</v>
      </c>
      <c r="J44" s="6">
        <v>50</v>
      </c>
      <c r="K44" s="6">
        <v>1350</v>
      </c>
      <c r="L44" s="6">
        <v>467.25</v>
      </c>
      <c r="M44" s="6">
        <f t="shared" si="7"/>
        <v>630787.5</v>
      </c>
      <c r="N44" s="6">
        <v>0</v>
      </c>
      <c r="O44" s="6">
        <v>445</v>
      </c>
      <c r="P44" s="6">
        <f t="shared" si="1"/>
        <v>600750</v>
      </c>
      <c r="Q44" s="6">
        <f t="shared" si="2"/>
        <v>30037.5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f t="shared" si="3"/>
        <v>0</v>
      </c>
      <c r="X44" s="6">
        <f t="shared" si="4"/>
        <v>0</v>
      </c>
      <c r="Y44" s="6">
        <v>0</v>
      </c>
      <c r="Z44" s="6">
        <f t="shared" si="5"/>
        <v>30037.5</v>
      </c>
      <c r="AA44" s="6" t="str">
        <f t="shared" si="6"/>
        <v xml:space="preserve"> Profit</v>
      </c>
      <c r="AB44" s="5" t="s">
        <v>198</v>
      </c>
      <c r="AC44" s="5" t="s">
        <v>82</v>
      </c>
      <c r="AD44" s="5" t="s">
        <v>88</v>
      </c>
      <c r="AE44" s="8" t="s">
        <v>185</v>
      </c>
      <c r="AF44" s="8" t="s">
        <v>185</v>
      </c>
      <c r="AG44" s="3">
        <v>45382</v>
      </c>
      <c r="AH44" s="3">
        <v>45388</v>
      </c>
    </row>
    <row r="45" spans="1:34" ht="12" customHeight="1">
      <c r="A45" s="3">
        <v>45379</v>
      </c>
      <c r="B45" s="5" t="s">
        <v>199</v>
      </c>
      <c r="C45" s="5" t="s">
        <v>170</v>
      </c>
      <c r="D45" s="5" t="s">
        <v>48</v>
      </c>
      <c r="E45" s="5" t="s">
        <v>37</v>
      </c>
      <c r="F45" s="5" t="str">
        <f t="shared" si="0"/>
        <v>Sugar</v>
      </c>
      <c r="G45" s="5" t="s">
        <v>86</v>
      </c>
      <c r="H45" s="5" t="s">
        <v>39</v>
      </c>
      <c r="I45" s="5" t="s">
        <v>40</v>
      </c>
      <c r="J45" s="6">
        <v>10</v>
      </c>
      <c r="K45" s="6">
        <v>25</v>
      </c>
      <c r="L45" s="6">
        <v>446.25</v>
      </c>
      <c r="M45" s="6">
        <f t="shared" si="7"/>
        <v>11156.25</v>
      </c>
      <c r="N45" s="6">
        <v>3508.8</v>
      </c>
      <c r="O45" s="6">
        <v>425</v>
      </c>
      <c r="P45" s="6">
        <f t="shared" si="1"/>
        <v>10625</v>
      </c>
      <c r="Q45" s="6">
        <f t="shared" si="2"/>
        <v>531.25</v>
      </c>
      <c r="R45" s="6">
        <v>8600</v>
      </c>
      <c r="S45" s="6">
        <v>688</v>
      </c>
      <c r="T45" s="6">
        <v>0</v>
      </c>
      <c r="U45" s="6">
        <v>206.4</v>
      </c>
      <c r="V45" s="6">
        <v>71.459999999999994</v>
      </c>
      <c r="W45" s="6">
        <f t="shared" si="3"/>
        <v>3508.8</v>
      </c>
      <c r="X45" s="6">
        <f t="shared" si="4"/>
        <v>9565.8599999999988</v>
      </c>
      <c r="Y45" s="6">
        <v>0</v>
      </c>
      <c r="Z45" s="6">
        <f t="shared" si="5"/>
        <v>-5525.8099999999986</v>
      </c>
      <c r="AA45" s="6" t="str">
        <f t="shared" si="6"/>
        <v xml:space="preserve"> Loss</v>
      </c>
      <c r="AB45" s="5" t="s">
        <v>200</v>
      </c>
      <c r="AC45" s="5" t="s">
        <v>82</v>
      </c>
      <c r="AD45" s="5" t="s">
        <v>88</v>
      </c>
      <c r="AE45" s="8" t="s">
        <v>185</v>
      </c>
      <c r="AF45" s="8" t="s">
        <v>185</v>
      </c>
      <c r="AG45" s="3">
        <v>45383</v>
      </c>
      <c r="AH45" s="3">
        <v>45389</v>
      </c>
    </row>
    <row r="46" spans="1:34" ht="12" customHeight="1">
      <c r="A46" s="3">
        <v>45383</v>
      </c>
      <c r="B46" s="5" t="s">
        <v>201</v>
      </c>
      <c r="C46" s="5" t="s">
        <v>202</v>
      </c>
      <c r="D46" s="5" t="s">
        <v>48</v>
      </c>
      <c r="E46" s="5" t="s">
        <v>63</v>
      </c>
      <c r="F46" s="5" t="str">
        <f t="shared" si="0"/>
        <v>Rice</v>
      </c>
      <c r="G46" s="5" t="s">
        <v>49</v>
      </c>
      <c r="H46" s="5" t="s">
        <v>64</v>
      </c>
      <c r="I46" s="5" t="s">
        <v>40</v>
      </c>
      <c r="J46" s="6">
        <v>30</v>
      </c>
      <c r="K46" s="6">
        <v>260</v>
      </c>
      <c r="L46" s="6">
        <v>467.25</v>
      </c>
      <c r="M46" s="6">
        <f t="shared" si="7"/>
        <v>121485</v>
      </c>
      <c r="N46" s="6">
        <v>13260</v>
      </c>
      <c r="O46" s="6">
        <v>445</v>
      </c>
      <c r="P46" s="6">
        <f t="shared" si="1"/>
        <v>115700</v>
      </c>
      <c r="Q46" s="6">
        <f t="shared" si="2"/>
        <v>5785</v>
      </c>
      <c r="R46" s="6">
        <v>32500</v>
      </c>
      <c r="S46" s="6">
        <v>2600</v>
      </c>
      <c r="T46" s="6">
        <v>0</v>
      </c>
      <c r="U46" s="6">
        <v>780</v>
      </c>
      <c r="V46" s="6">
        <v>220.03</v>
      </c>
      <c r="W46" s="6">
        <f t="shared" si="3"/>
        <v>13260</v>
      </c>
      <c r="X46" s="6">
        <f t="shared" si="4"/>
        <v>36100.03</v>
      </c>
      <c r="Y46" s="6">
        <v>0</v>
      </c>
      <c r="Z46" s="6">
        <f t="shared" si="5"/>
        <v>-17055.03</v>
      </c>
      <c r="AA46" s="6" t="str">
        <f t="shared" si="6"/>
        <v xml:space="preserve"> Loss</v>
      </c>
      <c r="AB46" s="5" t="s">
        <v>203</v>
      </c>
      <c r="AC46" s="5" t="s">
        <v>82</v>
      </c>
      <c r="AD46" s="5" t="s">
        <v>88</v>
      </c>
      <c r="AE46" s="8" t="s">
        <v>185</v>
      </c>
      <c r="AF46" s="8" t="s">
        <v>185</v>
      </c>
      <c r="AG46" s="3">
        <v>45387</v>
      </c>
      <c r="AH46" s="3">
        <v>45393</v>
      </c>
    </row>
    <row r="47" spans="1:34" ht="12" customHeight="1">
      <c r="A47" s="3">
        <v>45405</v>
      </c>
      <c r="B47" s="5" t="s">
        <v>204</v>
      </c>
      <c r="C47" s="5" t="s">
        <v>202</v>
      </c>
      <c r="D47" s="5" t="s">
        <v>48</v>
      </c>
      <c r="E47" s="5" t="s">
        <v>63</v>
      </c>
      <c r="F47" s="5" t="str">
        <f t="shared" si="0"/>
        <v>Rice</v>
      </c>
      <c r="G47" s="5" t="s">
        <v>49</v>
      </c>
      <c r="H47" s="5" t="s">
        <v>64</v>
      </c>
      <c r="I47" s="5" t="s">
        <v>40</v>
      </c>
      <c r="J47" s="6">
        <v>30</v>
      </c>
      <c r="K47" s="6">
        <v>260</v>
      </c>
      <c r="L47" s="6">
        <v>477.75</v>
      </c>
      <c r="M47" s="6">
        <f t="shared" si="7"/>
        <v>124215</v>
      </c>
      <c r="N47" s="6">
        <v>9996</v>
      </c>
      <c r="O47" s="6">
        <v>455</v>
      </c>
      <c r="P47" s="6">
        <f t="shared" si="1"/>
        <v>118300</v>
      </c>
      <c r="Q47" s="6">
        <f t="shared" si="2"/>
        <v>5915</v>
      </c>
      <c r="R47" s="6">
        <v>24500</v>
      </c>
      <c r="S47" s="6">
        <v>1960</v>
      </c>
      <c r="T47" s="6">
        <v>0</v>
      </c>
      <c r="U47" s="6">
        <v>588</v>
      </c>
      <c r="V47" s="6">
        <v>220.03</v>
      </c>
      <c r="W47" s="6">
        <f t="shared" si="3"/>
        <v>9996</v>
      </c>
      <c r="X47" s="6">
        <f t="shared" si="4"/>
        <v>27268.03</v>
      </c>
      <c r="Y47" s="6">
        <v>0</v>
      </c>
      <c r="Z47" s="6">
        <f t="shared" si="5"/>
        <v>-11357.029999999999</v>
      </c>
      <c r="AA47" s="6" t="str">
        <f t="shared" si="6"/>
        <v xml:space="preserve"> Loss</v>
      </c>
      <c r="AB47" s="5" t="s">
        <v>205</v>
      </c>
      <c r="AC47" s="5" t="s">
        <v>82</v>
      </c>
      <c r="AD47" s="5" t="s">
        <v>88</v>
      </c>
      <c r="AE47" s="8" t="s">
        <v>185</v>
      </c>
      <c r="AF47" s="8" t="s">
        <v>185</v>
      </c>
      <c r="AG47" s="3">
        <v>45409</v>
      </c>
      <c r="AH47" s="3">
        <v>45415</v>
      </c>
    </row>
    <row r="48" spans="1:34" ht="12" customHeight="1">
      <c r="A48" s="3">
        <v>45434</v>
      </c>
      <c r="B48" s="5" t="s">
        <v>206</v>
      </c>
      <c r="C48" s="5" t="s">
        <v>207</v>
      </c>
      <c r="D48" s="5" t="s">
        <v>53</v>
      </c>
      <c r="E48" s="5" t="s">
        <v>63</v>
      </c>
      <c r="F48" s="5" t="str">
        <f t="shared" si="0"/>
        <v>Rice</v>
      </c>
      <c r="G48" s="5" t="s">
        <v>57</v>
      </c>
      <c r="H48" s="5" t="s">
        <v>64</v>
      </c>
      <c r="I48" s="5" t="s">
        <v>58</v>
      </c>
      <c r="J48" s="6">
        <v>5</v>
      </c>
      <c r="K48" s="6">
        <v>130</v>
      </c>
      <c r="L48" s="6">
        <v>546</v>
      </c>
      <c r="M48" s="6">
        <f t="shared" si="7"/>
        <v>70980</v>
      </c>
      <c r="N48" s="6">
        <v>0</v>
      </c>
      <c r="O48" s="6">
        <v>520</v>
      </c>
      <c r="P48" s="6">
        <f t="shared" si="1"/>
        <v>67600</v>
      </c>
      <c r="Q48" s="6">
        <f t="shared" si="2"/>
        <v>3380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f t="shared" si="3"/>
        <v>0</v>
      </c>
      <c r="X48" s="6">
        <f t="shared" si="4"/>
        <v>0</v>
      </c>
      <c r="Y48" s="6">
        <v>0</v>
      </c>
      <c r="Z48" s="6">
        <f t="shared" si="5"/>
        <v>3380</v>
      </c>
      <c r="AA48" s="6" t="str">
        <f t="shared" si="6"/>
        <v xml:space="preserve"> Profit</v>
      </c>
      <c r="AB48" s="5" t="s">
        <v>208</v>
      </c>
      <c r="AC48" s="5" t="s">
        <v>168</v>
      </c>
      <c r="AD48" s="5" t="s">
        <v>43</v>
      </c>
      <c r="AE48" s="7" t="s">
        <v>44</v>
      </c>
      <c r="AF48" s="5" t="s">
        <v>45</v>
      </c>
      <c r="AG48" s="3">
        <v>45438</v>
      </c>
      <c r="AH48" s="3">
        <v>45444</v>
      </c>
    </row>
    <row r="49" spans="1:34" ht="12" customHeight="1">
      <c r="A49" s="3">
        <v>45438</v>
      </c>
      <c r="B49" s="5" t="s">
        <v>209</v>
      </c>
      <c r="C49" s="5" t="s">
        <v>191</v>
      </c>
      <c r="D49" s="5" t="s">
        <v>112</v>
      </c>
      <c r="E49" s="5" t="s">
        <v>63</v>
      </c>
      <c r="F49" s="5" t="str">
        <f t="shared" si="0"/>
        <v>Rice</v>
      </c>
      <c r="G49" s="5" t="s">
        <v>57</v>
      </c>
      <c r="H49" s="5" t="s">
        <v>64</v>
      </c>
      <c r="I49" s="5" t="s">
        <v>58</v>
      </c>
      <c r="J49" s="6">
        <v>50</v>
      </c>
      <c r="K49" s="6">
        <v>1300</v>
      </c>
      <c r="L49" s="6">
        <v>546</v>
      </c>
      <c r="M49" s="6">
        <f t="shared" si="7"/>
        <v>709800</v>
      </c>
      <c r="N49" s="6">
        <v>0</v>
      </c>
      <c r="O49" s="6">
        <v>520</v>
      </c>
      <c r="P49" s="6">
        <f t="shared" si="1"/>
        <v>676000</v>
      </c>
      <c r="Q49" s="6">
        <f t="shared" si="2"/>
        <v>33800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f t="shared" si="3"/>
        <v>0</v>
      </c>
      <c r="X49" s="6">
        <f t="shared" si="4"/>
        <v>0</v>
      </c>
      <c r="Y49" s="6">
        <v>0</v>
      </c>
      <c r="Z49" s="6">
        <f t="shared" si="5"/>
        <v>33800</v>
      </c>
      <c r="AA49" s="6" t="str">
        <f t="shared" si="6"/>
        <v xml:space="preserve"> Profit</v>
      </c>
      <c r="AB49" s="5" t="s">
        <v>210</v>
      </c>
      <c r="AC49" s="5" t="s">
        <v>211</v>
      </c>
      <c r="AD49" s="5" t="s">
        <v>212</v>
      </c>
      <c r="AE49" s="8" t="s">
        <v>185</v>
      </c>
      <c r="AF49" s="8" t="s">
        <v>185</v>
      </c>
      <c r="AG49" s="3">
        <v>45442</v>
      </c>
      <c r="AH49" s="3">
        <v>45448</v>
      </c>
    </row>
    <row r="50" spans="1:34" ht="12" customHeight="1">
      <c r="A50" s="3">
        <v>45441</v>
      </c>
      <c r="B50" s="5" t="s">
        <v>213</v>
      </c>
      <c r="C50" s="5" t="s">
        <v>207</v>
      </c>
      <c r="D50" s="5" t="s">
        <v>48</v>
      </c>
      <c r="E50" s="5" t="s">
        <v>63</v>
      </c>
      <c r="F50" s="5" t="str">
        <f t="shared" si="0"/>
        <v>Rice</v>
      </c>
      <c r="G50" s="5" t="s">
        <v>57</v>
      </c>
      <c r="H50" s="5" t="s">
        <v>64</v>
      </c>
      <c r="I50" s="5" t="s">
        <v>58</v>
      </c>
      <c r="J50" s="6">
        <v>5</v>
      </c>
      <c r="K50" s="6">
        <v>130</v>
      </c>
      <c r="L50" s="6">
        <v>546</v>
      </c>
      <c r="M50" s="6">
        <f t="shared" si="7"/>
        <v>70980</v>
      </c>
      <c r="N50" s="6">
        <v>0</v>
      </c>
      <c r="O50" s="6">
        <v>520</v>
      </c>
      <c r="P50" s="6">
        <f t="shared" si="1"/>
        <v>67600</v>
      </c>
      <c r="Q50" s="6">
        <f t="shared" si="2"/>
        <v>3380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f t="shared" si="3"/>
        <v>0</v>
      </c>
      <c r="X50" s="6">
        <f t="shared" si="4"/>
        <v>0</v>
      </c>
      <c r="Y50" s="6">
        <v>0</v>
      </c>
      <c r="Z50" s="6">
        <f t="shared" si="5"/>
        <v>3380</v>
      </c>
      <c r="AA50" s="6" t="str">
        <f t="shared" si="6"/>
        <v xml:space="preserve"> Profit</v>
      </c>
      <c r="AB50" s="5" t="s">
        <v>214</v>
      </c>
      <c r="AC50" s="5" t="s">
        <v>77</v>
      </c>
      <c r="AD50" s="5" t="s">
        <v>67</v>
      </c>
      <c r="AE50" s="7" t="s">
        <v>44</v>
      </c>
      <c r="AF50" s="5" t="s">
        <v>45</v>
      </c>
      <c r="AG50" s="3">
        <v>45445</v>
      </c>
      <c r="AH50" s="3">
        <v>45451</v>
      </c>
    </row>
    <row r="51" spans="1:34" ht="12" customHeight="1">
      <c r="A51" s="3">
        <v>45442</v>
      </c>
      <c r="B51" s="5" t="s">
        <v>215</v>
      </c>
      <c r="C51" s="5" t="s">
        <v>191</v>
      </c>
      <c r="D51" s="5" t="s">
        <v>48</v>
      </c>
      <c r="E51" s="5" t="s">
        <v>63</v>
      </c>
      <c r="F51" s="5" t="str">
        <f t="shared" si="0"/>
        <v>Rice</v>
      </c>
      <c r="G51" s="5" t="s">
        <v>57</v>
      </c>
      <c r="H51" s="5" t="s">
        <v>64</v>
      </c>
      <c r="I51" s="5" t="s">
        <v>58</v>
      </c>
      <c r="J51" s="6">
        <v>50</v>
      </c>
      <c r="K51" s="6">
        <v>1300</v>
      </c>
      <c r="L51" s="6">
        <v>546</v>
      </c>
      <c r="M51" s="6">
        <f t="shared" si="7"/>
        <v>709800</v>
      </c>
      <c r="N51" s="6">
        <v>0</v>
      </c>
      <c r="O51" s="6">
        <v>520</v>
      </c>
      <c r="P51" s="6">
        <f t="shared" si="1"/>
        <v>676000</v>
      </c>
      <c r="Q51" s="6">
        <f t="shared" si="2"/>
        <v>33800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f t="shared" si="3"/>
        <v>0</v>
      </c>
      <c r="X51" s="6">
        <f t="shared" si="4"/>
        <v>0</v>
      </c>
      <c r="Y51" s="6">
        <v>0</v>
      </c>
      <c r="Z51" s="6">
        <f t="shared" si="5"/>
        <v>33800</v>
      </c>
      <c r="AA51" s="6" t="str">
        <f t="shared" si="6"/>
        <v xml:space="preserve"> Profit</v>
      </c>
      <c r="AB51" s="5" t="s">
        <v>957</v>
      </c>
      <c r="AC51" s="5" t="s">
        <v>217</v>
      </c>
      <c r="AD51" s="5" t="s">
        <v>67</v>
      </c>
      <c r="AE51" s="7" t="s">
        <v>44</v>
      </c>
      <c r="AF51" s="5" t="s">
        <v>45</v>
      </c>
      <c r="AG51" s="3">
        <v>45446</v>
      </c>
      <c r="AH51" s="3">
        <v>45452</v>
      </c>
    </row>
    <row r="52" spans="1:34" ht="12" customHeight="1">
      <c r="A52" s="3">
        <v>45447</v>
      </c>
      <c r="B52" s="5" t="s">
        <v>218</v>
      </c>
      <c r="C52" s="5" t="s">
        <v>219</v>
      </c>
      <c r="D52" s="5" t="s">
        <v>36</v>
      </c>
      <c r="E52" s="5" t="s">
        <v>63</v>
      </c>
      <c r="F52" s="5" t="str">
        <f t="shared" si="0"/>
        <v>Rice</v>
      </c>
      <c r="G52" s="5" t="s">
        <v>49</v>
      </c>
      <c r="H52" s="5" t="s">
        <v>64</v>
      </c>
      <c r="I52" s="5" t="s">
        <v>40</v>
      </c>
      <c r="J52" s="6">
        <v>30</v>
      </c>
      <c r="K52" s="6">
        <v>780</v>
      </c>
      <c r="L52" s="6">
        <v>546</v>
      </c>
      <c r="M52" s="6">
        <f t="shared" si="7"/>
        <v>425880</v>
      </c>
      <c r="N52" s="6">
        <v>20851.717199999999</v>
      </c>
      <c r="O52" s="6">
        <v>520</v>
      </c>
      <c r="P52" s="6">
        <f t="shared" si="1"/>
        <v>405600</v>
      </c>
      <c r="Q52" s="6">
        <f t="shared" si="2"/>
        <v>20280</v>
      </c>
      <c r="R52" s="6">
        <v>51107.15</v>
      </c>
      <c r="S52" s="6">
        <v>4088.5720000000001</v>
      </c>
      <c r="T52" s="6">
        <v>0</v>
      </c>
      <c r="U52" s="6">
        <v>1226.5716</v>
      </c>
      <c r="V52" s="6">
        <v>372.85</v>
      </c>
      <c r="W52" s="6">
        <f t="shared" si="3"/>
        <v>20851.717199999999</v>
      </c>
      <c r="X52" s="6">
        <f t="shared" si="4"/>
        <v>56795.143600000003</v>
      </c>
      <c r="Y52" s="6">
        <v>0</v>
      </c>
      <c r="Z52" s="6">
        <f t="shared" si="5"/>
        <v>-15663.426400000004</v>
      </c>
      <c r="AA52" s="6" t="str">
        <f t="shared" si="6"/>
        <v xml:space="preserve"> Loss</v>
      </c>
      <c r="AB52" s="5" t="s">
        <v>216</v>
      </c>
      <c r="AC52" s="5" t="s">
        <v>220</v>
      </c>
      <c r="AD52" s="5" t="s">
        <v>67</v>
      </c>
      <c r="AE52" s="7" t="s">
        <v>114</v>
      </c>
      <c r="AF52" s="7" t="s">
        <v>115</v>
      </c>
      <c r="AG52" s="3">
        <v>45451</v>
      </c>
      <c r="AH52" s="3">
        <v>45457</v>
      </c>
    </row>
    <row r="53" spans="1:34" ht="12" customHeight="1">
      <c r="A53" s="3">
        <v>45449</v>
      </c>
      <c r="B53" s="5" t="s">
        <v>221</v>
      </c>
      <c r="C53" s="5" t="s">
        <v>219</v>
      </c>
      <c r="D53" s="5" t="s">
        <v>36</v>
      </c>
      <c r="E53" s="5" t="s">
        <v>63</v>
      </c>
      <c r="F53" s="5" t="str">
        <f t="shared" si="0"/>
        <v>Rice</v>
      </c>
      <c r="G53" s="5" t="s">
        <v>49</v>
      </c>
      <c r="H53" s="5" t="s">
        <v>64</v>
      </c>
      <c r="I53" s="5" t="s">
        <v>40</v>
      </c>
      <c r="J53" s="6">
        <v>50</v>
      </c>
      <c r="K53" s="6">
        <v>780</v>
      </c>
      <c r="L53" s="6">
        <v>592.20000000000005</v>
      </c>
      <c r="M53" s="6">
        <f t="shared" si="7"/>
        <v>461916.00000000006</v>
      </c>
      <c r="N53" s="6">
        <v>13668</v>
      </c>
      <c r="O53" s="6">
        <v>564</v>
      </c>
      <c r="P53" s="6">
        <f t="shared" si="1"/>
        <v>439920</v>
      </c>
      <c r="Q53" s="6">
        <f t="shared" si="2"/>
        <v>21996.000000000058</v>
      </c>
      <c r="R53" s="6">
        <v>33500</v>
      </c>
      <c r="S53" s="6">
        <v>2680</v>
      </c>
      <c r="T53" s="6">
        <v>0</v>
      </c>
      <c r="U53" s="6">
        <v>804</v>
      </c>
      <c r="V53" s="6">
        <v>373.29520000000002</v>
      </c>
      <c r="W53" s="6">
        <f t="shared" si="3"/>
        <v>13668</v>
      </c>
      <c r="X53" s="6">
        <f t="shared" si="4"/>
        <v>37357.2952</v>
      </c>
      <c r="Y53" s="6">
        <v>0</v>
      </c>
      <c r="Z53" s="6">
        <f t="shared" si="5"/>
        <v>-1693.2951999999423</v>
      </c>
      <c r="AA53" s="6" t="str">
        <f t="shared" si="6"/>
        <v xml:space="preserve"> Loss</v>
      </c>
      <c r="AB53" s="5" t="s">
        <v>222</v>
      </c>
      <c r="AC53" s="5" t="s">
        <v>193</v>
      </c>
      <c r="AD53" s="5" t="s">
        <v>67</v>
      </c>
      <c r="AE53" s="8" t="s">
        <v>185</v>
      </c>
      <c r="AF53" s="8" t="s">
        <v>185</v>
      </c>
      <c r="AG53" s="3">
        <v>45453</v>
      </c>
      <c r="AH53" s="3">
        <v>45459</v>
      </c>
    </row>
    <row r="54" spans="1:34" ht="12" customHeight="1">
      <c r="A54" s="3">
        <v>45450</v>
      </c>
      <c r="B54" s="5" t="s">
        <v>223</v>
      </c>
      <c r="C54" s="5" t="s">
        <v>219</v>
      </c>
      <c r="D54" s="5" t="s">
        <v>128</v>
      </c>
      <c r="E54" s="5" t="s">
        <v>63</v>
      </c>
      <c r="F54" s="5" t="str">
        <f t="shared" si="0"/>
        <v>Rice</v>
      </c>
      <c r="G54" s="5" t="s">
        <v>49</v>
      </c>
      <c r="H54" s="5" t="s">
        <v>64</v>
      </c>
      <c r="I54" s="5" t="s">
        <v>40</v>
      </c>
      <c r="J54" s="6">
        <v>20</v>
      </c>
      <c r="K54" s="6">
        <v>520</v>
      </c>
      <c r="L54" s="6">
        <v>446.25</v>
      </c>
      <c r="M54" s="6">
        <f t="shared" si="7"/>
        <v>232050</v>
      </c>
      <c r="N54" s="6">
        <v>8649.6</v>
      </c>
      <c r="O54" s="6">
        <v>425</v>
      </c>
      <c r="P54" s="6">
        <f t="shared" si="1"/>
        <v>221000</v>
      </c>
      <c r="Q54" s="6">
        <f t="shared" si="2"/>
        <v>11050</v>
      </c>
      <c r="R54" s="6">
        <v>21200</v>
      </c>
      <c r="S54" s="6">
        <v>1696</v>
      </c>
      <c r="T54" s="6">
        <v>0</v>
      </c>
      <c r="U54" s="6">
        <v>508.8</v>
      </c>
      <c r="V54" s="6">
        <v>113.25</v>
      </c>
      <c r="W54" s="6">
        <f t="shared" si="3"/>
        <v>8649.6</v>
      </c>
      <c r="X54" s="6">
        <f t="shared" si="4"/>
        <v>23518.05</v>
      </c>
      <c r="Y54" s="6">
        <v>0</v>
      </c>
      <c r="Z54" s="6">
        <f t="shared" si="5"/>
        <v>-3818.4499999999989</v>
      </c>
      <c r="AA54" s="6" t="str">
        <f t="shared" si="6"/>
        <v xml:space="preserve"> Loss</v>
      </c>
      <c r="AB54" s="5" t="s">
        <v>224</v>
      </c>
      <c r="AC54" s="5" t="s">
        <v>66</v>
      </c>
      <c r="AD54" s="5" t="s">
        <v>67</v>
      </c>
      <c r="AE54" s="8" t="s">
        <v>185</v>
      </c>
      <c r="AF54" s="8" t="s">
        <v>185</v>
      </c>
      <c r="AG54" s="3">
        <v>45454</v>
      </c>
      <c r="AH54" s="3">
        <v>45460</v>
      </c>
    </row>
    <row r="55" spans="1:34" ht="12" customHeight="1">
      <c r="A55" s="3">
        <v>45452</v>
      </c>
      <c r="B55" s="5" t="s">
        <v>225</v>
      </c>
      <c r="C55" s="5" t="s">
        <v>226</v>
      </c>
      <c r="D55" s="5" t="s">
        <v>85</v>
      </c>
      <c r="E55" s="5" t="s">
        <v>63</v>
      </c>
      <c r="F55" s="5" t="str">
        <f t="shared" si="0"/>
        <v>Rice</v>
      </c>
      <c r="G55" s="5" t="s">
        <v>57</v>
      </c>
      <c r="H55" s="5" t="s">
        <v>64</v>
      </c>
      <c r="I55" s="5" t="s">
        <v>58</v>
      </c>
      <c r="J55" s="6">
        <v>1</v>
      </c>
      <c r="K55" s="6">
        <v>26</v>
      </c>
      <c r="L55" s="6">
        <v>1060.5</v>
      </c>
      <c r="M55" s="6">
        <f t="shared" si="7"/>
        <v>27573</v>
      </c>
      <c r="N55" s="6">
        <v>0</v>
      </c>
      <c r="O55" s="6">
        <v>1010</v>
      </c>
      <c r="P55" s="6">
        <f t="shared" si="1"/>
        <v>26260</v>
      </c>
      <c r="Q55" s="6">
        <f t="shared" si="2"/>
        <v>1313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f t="shared" si="3"/>
        <v>0</v>
      </c>
      <c r="X55" s="6">
        <f t="shared" si="4"/>
        <v>0</v>
      </c>
      <c r="Y55" s="6">
        <v>0</v>
      </c>
      <c r="Z55" s="6">
        <f t="shared" si="5"/>
        <v>1313</v>
      </c>
      <c r="AA55" s="6" t="str">
        <f t="shared" si="6"/>
        <v xml:space="preserve"> Profit</v>
      </c>
      <c r="AB55" s="5" t="s">
        <v>227</v>
      </c>
      <c r="AC55" s="5" t="s">
        <v>66</v>
      </c>
      <c r="AD55" s="5" t="s">
        <v>67</v>
      </c>
      <c r="AE55" s="7" t="s">
        <v>44</v>
      </c>
      <c r="AF55" s="5" t="s">
        <v>45</v>
      </c>
      <c r="AG55" s="3">
        <v>45456</v>
      </c>
      <c r="AH55" s="3">
        <v>45462</v>
      </c>
    </row>
    <row r="56" spans="1:34" ht="12" customHeight="1">
      <c r="A56" s="3">
        <v>45453</v>
      </c>
      <c r="B56" s="5" t="s">
        <v>228</v>
      </c>
      <c r="C56" s="5" t="s">
        <v>229</v>
      </c>
      <c r="D56" s="5" t="s">
        <v>135</v>
      </c>
      <c r="E56" s="5" t="s">
        <v>63</v>
      </c>
      <c r="F56" s="5" t="str">
        <f t="shared" si="0"/>
        <v>Rice</v>
      </c>
      <c r="G56" s="5" t="s">
        <v>49</v>
      </c>
      <c r="H56" s="5" t="s">
        <v>64</v>
      </c>
      <c r="I56" s="5" t="s">
        <v>58</v>
      </c>
      <c r="J56" s="6">
        <v>10</v>
      </c>
      <c r="K56" s="6">
        <v>260</v>
      </c>
      <c r="L56" s="6">
        <v>472.5</v>
      </c>
      <c r="M56" s="6">
        <f t="shared" si="7"/>
        <v>122850</v>
      </c>
      <c r="N56" s="6">
        <v>0</v>
      </c>
      <c r="O56" s="6">
        <v>450</v>
      </c>
      <c r="P56" s="6">
        <f t="shared" si="1"/>
        <v>117000</v>
      </c>
      <c r="Q56" s="6">
        <f t="shared" si="2"/>
        <v>5850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f t="shared" si="3"/>
        <v>0</v>
      </c>
      <c r="X56" s="6">
        <f t="shared" si="4"/>
        <v>0</v>
      </c>
      <c r="Y56" s="6">
        <v>0</v>
      </c>
      <c r="Z56" s="6">
        <f t="shared" si="5"/>
        <v>5850</v>
      </c>
      <c r="AA56" s="6" t="str">
        <f t="shared" si="6"/>
        <v xml:space="preserve"> Profit</v>
      </c>
      <c r="AB56" s="5" t="s">
        <v>230</v>
      </c>
      <c r="AC56" s="5" t="s">
        <v>66</v>
      </c>
      <c r="AD56" s="5" t="s">
        <v>67</v>
      </c>
      <c r="AE56" s="7" t="s">
        <v>44</v>
      </c>
      <c r="AF56" s="5" t="s">
        <v>45</v>
      </c>
      <c r="AG56" s="3">
        <v>45457</v>
      </c>
      <c r="AH56" s="3">
        <v>45463</v>
      </c>
    </row>
    <row r="57" spans="1:34" ht="12" customHeight="1">
      <c r="A57" s="3">
        <v>45454</v>
      </c>
      <c r="B57" s="5" t="s">
        <v>231</v>
      </c>
      <c r="C57" s="5" t="s">
        <v>229</v>
      </c>
      <c r="D57" s="5" t="s">
        <v>91</v>
      </c>
      <c r="E57" s="5" t="s">
        <v>63</v>
      </c>
      <c r="F57" s="5" t="str">
        <f t="shared" si="0"/>
        <v>Rice</v>
      </c>
      <c r="G57" s="5" t="s">
        <v>49</v>
      </c>
      <c r="H57" s="5" t="s">
        <v>64</v>
      </c>
      <c r="I57" s="5" t="s">
        <v>58</v>
      </c>
      <c r="J57" s="6">
        <v>10</v>
      </c>
      <c r="K57" s="6">
        <v>260</v>
      </c>
      <c r="L57" s="6">
        <v>472.5</v>
      </c>
      <c r="M57" s="6">
        <f t="shared" si="7"/>
        <v>122850</v>
      </c>
      <c r="N57" s="6">
        <v>0</v>
      </c>
      <c r="O57" s="6">
        <v>450</v>
      </c>
      <c r="P57" s="6">
        <f t="shared" si="1"/>
        <v>117000</v>
      </c>
      <c r="Q57" s="6">
        <f t="shared" si="2"/>
        <v>5850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f t="shared" si="3"/>
        <v>0</v>
      </c>
      <c r="X57" s="6">
        <f t="shared" si="4"/>
        <v>0</v>
      </c>
      <c r="Y57" s="6">
        <v>0</v>
      </c>
      <c r="Z57" s="6">
        <f t="shared" si="5"/>
        <v>5850</v>
      </c>
      <c r="AA57" s="6" t="str">
        <f t="shared" si="6"/>
        <v xml:space="preserve"> Profit</v>
      </c>
      <c r="AB57" s="5" t="s">
        <v>232</v>
      </c>
      <c r="AC57" s="5" t="s">
        <v>66</v>
      </c>
      <c r="AD57" s="5" t="s">
        <v>67</v>
      </c>
      <c r="AE57" s="7" t="s">
        <v>44</v>
      </c>
      <c r="AF57" s="5" t="s">
        <v>45</v>
      </c>
      <c r="AG57" s="3">
        <v>45458</v>
      </c>
      <c r="AH57" s="3">
        <v>45464</v>
      </c>
    </row>
    <row r="58" spans="1:34" ht="12" customHeight="1">
      <c r="A58" s="3">
        <v>45455</v>
      </c>
      <c r="B58" s="5" t="s">
        <v>233</v>
      </c>
      <c r="C58" s="5" t="s">
        <v>234</v>
      </c>
      <c r="D58" s="5" t="s">
        <v>48</v>
      </c>
      <c r="E58" s="5" t="s">
        <v>63</v>
      </c>
      <c r="F58" s="5" t="str">
        <f t="shared" si="0"/>
        <v>Rice</v>
      </c>
      <c r="G58" s="5" t="s">
        <v>57</v>
      </c>
      <c r="H58" s="5" t="s">
        <v>64</v>
      </c>
      <c r="I58" s="5" t="s">
        <v>58</v>
      </c>
      <c r="J58" s="6">
        <v>10</v>
      </c>
      <c r="K58" s="6">
        <v>260</v>
      </c>
      <c r="L58" s="6">
        <v>472.5</v>
      </c>
      <c r="M58" s="6">
        <f t="shared" si="7"/>
        <v>122850</v>
      </c>
      <c r="N58" s="6">
        <v>0</v>
      </c>
      <c r="O58" s="6">
        <v>450</v>
      </c>
      <c r="P58" s="6">
        <f t="shared" si="1"/>
        <v>117000</v>
      </c>
      <c r="Q58" s="6">
        <f t="shared" si="2"/>
        <v>5850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f t="shared" si="3"/>
        <v>0</v>
      </c>
      <c r="X58" s="6">
        <f t="shared" si="4"/>
        <v>0</v>
      </c>
      <c r="Y58" s="6">
        <v>0</v>
      </c>
      <c r="Z58" s="6">
        <f t="shared" si="5"/>
        <v>5850</v>
      </c>
      <c r="AA58" s="6" t="str">
        <f t="shared" si="6"/>
        <v xml:space="preserve"> Profit</v>
      </c>
      <c r="AB58" s="5" t="s">
        <v>235</v>
      </c>
      <c r="AC58" s="5" t="s">
        <v>189</v>
      </c>
      <c r="AD58" s="5" t="s">
        <v>67</v>
      </c>
      <c r="AE58" s="7" t="s">
        <v>114</v>
      </c>
      <c r="AF58" s="7" t="s">
        <v>115</v>
      </c>
      <c r="AG58" s="3">
        <v>45459</v>
      </c>
      <c r="AH58" s="3">
        <v>45465</v>
      </c>
    </row>
    <row r="59" spans="1:34" ht="12" customHeight="1">
      <c r="A59" s="3">
        <v>45456</v>
      </c>
      <c r="B59" s="5" t="s">
        <v>236</v>
      </c>
      <c r="C59" s="5" t="s">
        <v>237</v>
      </c>
      <c r="D59" s="5" t="s">
        <v>36</v>
      </c>
      <c r="E59" s="5" t="s">
        <v>157</v>
      </c>
      <c r="F59" s="5" t="str">
        <f t="shared" si="0"/>
        <v>Sugar</v>
      </c>
      <c r="G59" s="5" t="s">
        <v>38</v>
      </c>
      <c r="H59" s="5" t="s">
        <v>57</v>
      </c>
      <c r="I59" s="5" t="s">
        <v>58</v>
      </c>
      <c r="J59" s="6">
        <v>0</v>
      </c>
      <c r="K59" s="6">
        <v>0.41</v>
      </c>
      <c r="L59" s="6">
        <v>990</v>
      </c>
      <c r="M59" s="6">
        <f t="shared" si="7"/>
        <v>405.9</v>
      </c>
      <c r="N59" s="6">
        <v>0</v>
      </c>
      <c r="O59" s="6">
        <v>450</v>
      </c>
      <c r="P59" s="6">
        <f t="shared" si="1"/>
        <v>184.5</v>
      </c>
      <c r="Q59" s="6">
        <f t="shared" si="2"/>
        <v>221.39999999999998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f t="shared" si="3"/>
        <v>0</v>
      </c>
      <c r="X59" s="6">
        <f t="shared" si="4"/>
        <v>0</v>
      </c>
      <c r="Y59" s="6">
        <v>0</v>
      </c>
      <c r="Z59" s="6">
        <f t="shared" si="5"/>
        <v>221.39999999999998</v>
      </c>
      <c r="AA59" s="6" t="str">
        <f t="shared" si="6"/>
        <v xml:space="preserve"> Profit</v>
      </c>
      <c r="AB59" s="5" t="s">
        <v>966</v>
      </c>
      <c r="AC59" s="5" t="s">
        <v>159</v>
      </c>
      <c r="AD59" s="5" t="s">
        <v>160</v>
      </c>
      <c r="AE59" s="5" t="s">
        <v>238</v>
      </c>
      <c r="AF59" s="5" t="s">
        <v>45</v>
      </c>
      <c r="AG59" s="3">
        <v>45939</v>
      </c>
      <c r="AH59" s="3">
        <v>45945</v>
      </c>
    </row>
    <row r="60" spans="1:34" ht="12" customHeight="1">
      <c r="A60" s="3">
        <v>45457</v>
      </c>
      <c r="B60" s="5" t="s">
        <v>239</v>
      </c>
      <c r="C60" s="5" t="s">
        <v>240</v>
      </c>
      <c r="D60" s="5" t="s">
        <v>48</v>
      </c>
      <c r="E60" s="5" t="s">
        <v>37</v>
      </c>
      <c r="F60" s="5" t="str">
        <f t="shared" si="0"/>
        <v>Sugar</v>
      </c>
      <c r="G60" s="5" t="s">
        <v>49</v>
      </c>
      <c r="H60" s="5" t="s">
        <v>39</v>
      </c>
      <c r="I60" s="5" t="s">
        <v>58</v>
      </c>
      <c r="J60" s="6">
        <v>14</v>
      </c>
      <c r="K60" s="6">
        <v>350</v>
      </c>
      <c r="L60" s="6">
        <v>718.56466499999999</v>
      </c>
      <c r="M60" s="6">
        <f t="shared" si="7"/>
        <v>251497.63274999999</v>
      </c>
      <c r="N60" s="6">
        <v>0</v>
      </c>
      <c r="O60" s="6">
        <v>684.34730000000002</v>
      </c>
      <c r="P60" s="6">
        <f t="shared" si="1"/>
        <v>239521.55499999999</v>
      </c>
      <c r="Q60" s="6">
        <f t="shared" si="2"/>
        <v>11976.077749999997</v>
      </c>
      <c r="R60" s="6">
        <v>0</v>
      </c>
      <c r="S60" s="6">
        <v>0</v>
      </c>
      <c r="T60" s="6">
        <v>0</v>
      </c>
      <c r="U60" s="6">
        <v>0</v>
      </c>
      <c r="V60" s="6">
        <v>68</v>
      </c>
      <c r="W60" s="6">
        <f t="shared" si="3"/>
        <v>0</v>
      </c>
      <c r="X60" s="6">
        <f t="shared" si="4"/>
        <v>68</v>
      </c>
      <c r="Y60" s="6">
        <v>0</v>
      </c>
      <c r="Z60" s="6">
        <f t="shared" si="5"/>
        <v>11908.077749999997</v>
      </c>
      <c r="AA60" s="6" t="str">
        <f t="shared" si="6"/>
        <v xml:space="preserve"> Profit</v>
      </c>
      <c r="AB60" s="5" t="s">
        <v>241</v>
      </c>
      <c r="AC60" s="5" t="s">
        <v>82</v>
      </c>
      <c r="AD60" s="5" t="s">
        <v>43</v>
      </c>
      <c r="AE60" s="7" t="s">
        <v>44</v>
      </c>
      <c r="AF60" s="5" t="s">
        <v>45</v>
      </c>
      <c r="AG60" s="3">
        <v>45461</v>
      </c>
      <c r="AH60" s="3">
        <v>45467</v>
      </c>
    </row>
    <row r="61" spans="1:34" ht="12" customHeight="1">
      <c r="A61" s="3">
        <v>45458</v>
      </c>
      <c r="B61" s="5" t="s">
        <v>242</v>
      </c>
      <c r="C61" s="5" t="s">
        <v>243</v>
      </c>
      <c r="D61" s="5" t="s">
        <v>112</v>
      </c>
      <c r="E61" s="5" t="s">
        <v>37</v>
      </c>
      <c r="F61" s="5" t="str">
        <f t="shared" si="0"/>
        <v>Sugar</v>
      </c>
      <c r="G61" s="5" t="s">
        <v>38</v>
      </c>
      <c r="H61" s="5" t="s">
        <v>39</v>
      </c>
      <c r="I61" s="5" t="s">
        <v>80</v>
      </c>
      <c r="J61" s="6">
        <v>20</v>
      </c>
      <c r="K61" s="6">
        <v>540</v>
      </c>
      <c r="L61" s="6">
        <v>640.5</v>
      </c>
      <c r="M61" s="6">
        <f t="shared" si="7"/>
        <v>345870</v>
      </c>
      <c r="N61" s="6">
        <v>4737.4920000000002</v>
      </c>
      <c r="O61" s="6">
        <v>610</v>
      </c>
      <c r="P61" s="6">
        <f t="shared" si="1"/>
        <v>329400</v>
      </c>
      <c r="Q61" s="6">
        <f t="shared" si="2"/>
        <v>16470</v>
      </c>
      <c r="R61" s="6">
        <v>11611.5</v>
      </c>
      <c r="S61" s="6">
        <v>0</v>
      </c>
      <c r="T61" s="6">
        <v>0</v>
      </c>
      <c r="U61" s="6">
        <v>0</v>
      </c>
      <c r="V61" s="6">
        <v>71.459999999999994</v>
      </c>
      <c r="W61" s="6">
        <f t="shared" si="3"/>
        <v>4737.4920000000002</v>
      </c>
      <c r="X61" s="6">
        <f t="shared" si="4"/>
        <v>11682.96</v>
      </c>
      <c r="Y61" s="6">
        <v>0</v>
      </c>
      <c r="Z61" s="6">
        <f t="shared" si="5"/>
        <v>9524.5320000000011</v>
      </c>
      <c r="AA61" s="6" t="str">
        <f t="shared" si="6"/>
        <v xml:space="preserve"> Profit</v>
      </c>
      <c r="AB61" s="5" t="s">
        <v>244</v>
      </c>
      <c r="AC61" s="5" t="s">
        <v>77</v>
      </c>
      <c r="AD61" s="5" t="s">
        <v>67</v>
      </c>
      <c r="AE61" s="7" t="s">
        <v>44</v>
      </c>
      <c r="AF61" s="5" t="s">
        <v>45</v>
      </c>
      <c r="AG61" s="3">
        <v>45462</v>
      </c>
      <c r="AH61" s="3">
        <v>45468</v>
      </c>
    </row>
    <row r="62" spans="1:34" ht="12" customHeight="1">
      <c r="A62" s="3">
        <v>45459</v>
      </c>
      <c r="B62" s="5" t="s">
        <v>245</v>
      </c>
      <c r="C62" s="5" t="s">
        <v>246</v>
      </c>
      <c r="D62" s="5" t="s">
        <v>48</v>
      </c>
      <c r="E62" s="5" t="s">
        <v>37</v>
      </c>
      <c r="F62" s="5" t="str">
        <f t="shared" si="0"/>
        <v>Sugar</v>
      </c>
      <c r="G62" s="5" t="s">
        <v>49</v>
      </c>
      <c r="H62" s="5" t="s">
        <v>39</v>
      </c>
      <c r="I62" s="5" t="s">
        <v>58</v>
      </c>
      <c r="J62" s="6">
        <v>20</v>
      </c>
      <c r="K62" s="6">
        <v>520</v>
      </c>
      <c r="L62" s="6">
        <v>735</v>
      </c>
      <c r="M62" s="6">
        <f t="shared" si="7"/>
        <v>382200</v>
      </c>
      <c r="N62" s="6">
        <v>0</v>
      </c>
      <c r="O62" s="6">
        <v>700</v>
      </c>
      <c r="P62" s="6">
        <f t="shared" si="1"/>
        <v>364000</v>
      </c>
      <c r="Q62" s="6">
        <f t="shared" si="2"/>
        <v>18200</v>
      </c>
      <c r="R62" s="6">
        <v>0</v>
      </c>
      <c r="S62" s="6">
        <v>0</v>
      </c>
      <c r="T62" s="6">
        <v>0</v>
      </c>
      <c r="U62" s="6">
        <v>0</v>
      </c>
      <c r="V62" s="6">
        <v>374.31</v>
      </c>
      <c r="W62" s="6">
        <f t="shared" si="3"/>
        <v>0</v>
      </c>
      <c r="X62" s="6">
        <f t="shared" si="4"/>
        <v>374.31</v>
      </c>
      <c r="Y62" s="6">
        <v>0</v>
      </c>
      <c r="Z62" s="6">
        <f t="shared" si="5"/>
        <v>17825.689999999999</v>
      </c>
      <c r="AA62" s="6" t="str">
        <f t="shared" si="6"/>
        <v xml:space="preserve"> Profit</v>
      </c>
      <c r="AB62" s="5" t="s">
        <v>247</v>
      </c>
      <c r="AC62" s="5" t="s">
        <v>82</v>
      </c>
      <c r="AD62" s="5" t="s">
        <v>43</v>
      </c>
      <c r="AE62" s="7" t="s">
        <v>44</v>
      </c>
      <c r="AF62" s="5" t="s">
        <v>45</v>
      </c>
      <c r="AG62" s="3">
        <v>45463</v>
      </c>
      <c r="AH62" s="3">
        <v>45469</v>
      </c>
    </row>
    <row r="63" spans="1:34" ht="12" customHeight="1">
      <c r="A63" s="3">
        <v>45461</v>
      </c>
      <c r="B63" s="5" t="s">
        <v>248</v>
      </c>
      <c r="C63" s="5" t="s">
        <v>249</v>
      </c>
      <c r="D63" s="5" t="s">
        <v>36</v>
      </c>
      <c r="E63" s="5" t="s">
        <v>37</v>
      </c>
      <c r="F63" s="5" t="str">
        <f t="shared" si="0"/>
        <v>Sugar</v>
      </c>
      <c r="G63" s="5" t="s">
        <v>49</v>
      </c>
      <c r="H63" s="5" t="s">
        <v>39</v>
      </c>
      <c r="I63" s="5" t="s">
        <v>80</v>
      </c>
      <c r="J63" s="6">
        <v>10</v>
      </c>
      <c r="K63" s="6">
        <v>270</v>
      </c>
      <c r="L63" s="6">
        <v>643.65</v>
      </c>
      <c r="M63" s="6">
        <f t="shared" si="7"/>
        <v>173785.5</v>
      </c>
      <c r="N63" s="6">
        <v>4182</v>
      </c>
      <c r="O63" s="6">
        <v>613</v>
      </c>
      <c r="P63" s="6">
        <f t="shared" si="1"/>
        <v>165510</v>
      </c>
      <c r="Q63" s="6">
        <f t="shared" si="2"/>
        <v>8275.5</v>
      </c>
      <c r="R63" s="6">
        <v>10250</v>
      </c>
      <c r="S63" s="6">
        <v>0</v>
      </c>
      <c r="T63" s="6">
        <v>0</v>
      </c>
      <c r="U63" s="6">
        <v>0</v>
      </c>
      <c r="V63" s="6">
        <v>57.87</v>
      </c>
      <c r="W63" s="6">
        <f t="shared" si="3"/>
        <v>4182</v>
      </c>
      <c r="X63" s="6">
        <f t="shared" si="4"/>
        <v>10307.870000000001</v>
      </c>
      <c r="Y63" s="6">
        <v>0</v>
      </c>
      <c r="Z63" s="6">
        <f t="shared" si="5"/>
        <v>2149.6299999999992</v>
      </c>
      <c r="AA63" s="6" t="str">
        <f t="shared" si="6"/>
        <v xml:space="preserve"> Profit</v>
      </c>
      <c r="AB63" s="5" t="s">
        <v>250</v>
      </c>
      <c r="AC63" s="5" t="s">
        <v>42</v>
      </c>
      <c r="AD63" s="5" t="s">
        <v>43</v>
      </c>
      <c r="AE63" s="7" t="s">
        <v>44</v>
      </c>
      <c r="AF63" s="5" t="s">
        <v>45</v>
      </c>
      <c r="AG63" s="3">
        <v>45465</v>
      </c>
      <c r="AH63" s="3">
        <v>45471</v>
      </c>
    </row>
    <row r="64" spans="1:34" ht="12" customHeight="1">
      <c r="A64" s="3">
        <v>45462</v>
      </c>
      <c r="B64" s="5" t="s">
        <v>251</v>
      </c>
      <c r="C64" s="5" t="s">
        <v>252</v>
      </c>
      <c r="D64" s="5" t="s">
        <v>48</v>
      </c>
      <c r="E64" s="5" t="s">
        <v>37</v>
      </c>
      <c r="F64" s="5" t="str">
        <f t="shared" si="0"/>
        <v>Sugar</v>
      </c>
      <c r="G64" s="5" t="s">
        <v>49</v>
      </c>
      <c r="H64" s="5" t="s">
        <v>39</v>
      </c>
      <c r="I64" s="5" t="s">
        <v>80</v>
      </c>
      <c r="J64" s="6">
        <v>10</v>
      </c>
      <c r="K64" s="6">
        <v>270</v>
      </c>
      <c r="L64" s="6">
        <v>640.5</v>
      </c>
      <c r="M64" s="6">
        <f t="shared" si="7"/>
        <v>172935</v>
      </c>
      <c r="N64" s="6">
        <v>4184.9171999999999</v>
      </c>
      <c r="O64" s="6">
        <v>610</v>
      </c>
      <c r="P64" s="6">
        <f t="shared" si="1"/>
        <v>164700</v>
      </c>
      <c r="Q64" s="6">
        <f t="shared" si="2"/>
        <v>8235</v>
      </c>
      <c r="R64" s="6">
        <v>10257.15</v>
      </c>
      <c r="S64" s="6">
        <v>0</v>
      </c>
      <c r="T64" s="6">
        <v>0</v>
      </c>
      <c r="U64" s="6">
        <v>0</v>
      </c>
      <c r="V64" s="6">
        <v>35.729999999999997</v>
      </c>
      <c r="W64" s="6">
        <f t="shared" si="3"/>
        <v>4184.9171999999999</v>
      </c>
      <c r="X64" s="6">
        <f t="shared" si="4"/>
        <v>10292.879999999999</v>
      </c>
      <c r="Y64" s="6">
        <v>0</v>
      </c>
      <c r="Z64" s="6">
        <f t="shared" si="5"/>
        <v>2127.0372000000007</v>
      </c>
      <c r="AA64" s="6" t="str">
        <f t="shared" si="6"/>
        <v xml:space="preserve"> Profit</v>
      </c>
      <c r="AB64" s="5" t="s">
        <v>253</v>
      </c>
      <c r="AC64" s="5" t="s">
        <v>42</v>
      </c>
      <c r="AD64" s="5" t="s">
        <v>43</v>
      </c>
      <c r="AE64" s="7" t="s">
        <v>44</v>
      </c>
      <c r="AF64" s="5" t="s">
        <v>45</v>
      </c>
      <c r="AG64" s="3">
        <v>45466</v>
      </c>
      <c r="AH64" s="3">
        <v>45472</v>
      </c>
    </row>
    <row r="65" spans="1:34" ht="12" customHeight="1">
      <c r="A65" s="3">
        <v>45463</v>
      </c>
      <c r="B65" s="5" t="s">
        <v>254</v>
      </c>
      <c r="C65" s="5" t="s">
        <v>255</v>
      </c>
      <c r="D65" s="5" t="s">
        <v>36</v>
      </c>
      <c r="E65" s="5" t="s">
        <v>37</v>
      </c>
      <c r="F65" s="5" t="str">
        <f t="shared" si="0"/>
        <v>Sugar</v>
      </c>
      <c r="G65" s="5" t="s">
        <v>256</v>
      </c>
      <c r="H65" s="5" t="s">
        <v>39</v>
      </c>
      <c r="I65" s="5" t="s">
        <v>58</v>
      </c>
      <c r="J65" s="6">
        <v>1</v>
      </c>
      <c r="K65" s="6">
        <v>32.5</v>
      </c>
      <c r="L65" s="6">
        <v>1827</v>
      </c>
      <c r="M65" s="6">
        <f t="shared" si="7"/>
        <v>59377.5</v>
      </c>
      <c r="N65" s="6">
        <v>0</v>
      </c>
      <c r="O65" s="6">
        <v>1740</v>
      </c>
      <c r="P65" s="6">
        <f t="shared" si="1"/>
        <v>56550</v>
      </c>
      <c r="Q65" s="6">
        <f t="shared" si="2"/>
        <v>2827.5</v>
      </c>
      <c r="R65" s="6">
        <v>0</v>
      </c>
      <c r="S65" s="6">
        <v>0</v>
      </c>
      <c r="T65" s="6">
        <v>0</v>
      </c>
      <c r="U65" s="6">
        <v>0</v>
      </c>
      <c r="V65" s="6">
        <v>1616.43</v>
      </c>
      <c r="W65" s="6">
        <f t="shared" si="3"/>
        <v>0</v>
      </c>
      <c r="X65" s="6">
        <f t="shared" si="4"/>
        <v>1616.43</v>
      </c>
      <c r="Y65" s="6">
        <v>0</v>
      </c>
      <c r="Z65" s="6">
        <f t="shared" si="5"/>
        <v>1211.07</v>
      </c>
      <c r="AA65" s="6" t="str">
        <f t="shared" si="6"/>
        <v xml:space="preserve"> Profit</v>
      </c>
      <c r="AB65" s="5" t="s">
        <v>257</v>
      </c>
      <c r="AC65" s="5" t="s">
        <v>42</v>
      </c>
      <c r="AD65" s="5" t="s">
        <v>43</v>
      </c>
      <c r="AE65" s="7" t="s">
        <v>44</v>
      </c>
      <c r="AF65" s="5" t="s">
        <v>45</v>
      </c>
      <c r="AG65" s="3">
        <v>45467</v>
      </c>
      <c r="AH65" s="3">
        <v>45473</v>
      </c>
    </row>
    <row r="66" spans="1:34" ht="12" customHeight="1">
      <c r="A66" s="3">
        <v>45464</v>
      </c>
      <c r="B66" s="5" t="s">
        <v>258</v>
      </c>
      <c r="C66" s="5" t="s">
        <v>259</v>
      </c>
      <c r="D66" s="5" t="s">
        <v>48</v>
      </c>
      <c r="E66" s="5" t="s">
        <v>37</v>
      </c>
      <c r="F66" s="5" t="str">
        <f t="shared" ref="F66:F129" si="8">IF(ISNUMBER(SEARCH("Rice",E66)),"Rice",IF(ISNUMBER(SEARCH("Basmati",E66)),"Rice",IF(ISNUMBER(SEARCH("Sugar",E66)),"Sugar",IF(ISNUMBER(SEARCH("Lentils",E66)),"Lentils",IF(ISNUMBER(SEARCH("Masoor",E66)),"Lentils",IF(ISNUMBER(SEARCH("Cloves",E66)),"Cloves",IF(ISNUMBER(SEARCH("Sunflower",E66)),"Sunflower","Other")))))))</f>
        <v>Sugar</v>
      </c>
      <c r="G66" s="5" t="s">
        <v>49</v>
      </c>
      <c r="H66" s="5" t="s">
        <v>39</v>
      </c>
      <c r="I66" s="5" t="s">
        <v>58</v>
      </c>
      <c r="J66" s="6">
        <v>10</v>
      </c>
      <c r="K66" s="6">
        <v>260</v>
      </c>
      <c r="L66" s="6">
        <v>753.48</v>
      </c>
      <c r="M66" s="6">
        <f t="shared" ref="M66:M129" si="9">L66*K66</f>
        <v>195904.80000000002</v>
      </c>
      <c r="N66" s="6">
        <v>0</v>
      </c>
      <c r="O66" s="6">
        <v>717.6</v>
      </c>
      <c r="P66" s="6">
        <f t="shared" ref="P66:P129" si="10">K66*O66</f>
        <v>186576</v>
      </c>
      <c r="Q66" s="6">
        <f t="shared" ref="Q66:Q129" si="11">M66-P66</f>
        <v>9328.8000000000175</v>
      </c>
      <c r="R66" s="6">
        <v>0</v>
      </c>
      <c r="S66" s="6">
        <v>0</v>
      </c>
      <c r="T66" s="6">
        <v>0</v>
      </c>
      <c r="U66" s="6">
        <v>0</v>
      </c>
      <c r="V66" s="6">
        <v>35.729999999999997</v>
      </c>
      <c r="W66" s="6">
        <f t="shared" ref="W66:W129" si="12">N66+Y66</f>
        <v>0</v>
      </c>
      <c r="X66" s="6">
        <f t="shared" ref="X66:X129" si="13">R66+S66+T66+U66+V66</f>
        <v>35.729999999999997</v>
      </c>
      <c r="Y66" s="6">
        <v>0</v>
      </c>
      <c r="Z66" s="6">
        <f t="shared" ref="Z66:Z129" si="14">Q66-X66+W66</f>
        <v>9293.0700000000179</v>
      </c>
      <c r="AA66" s="6" t="str">
        <f t="shared" ref="AA66:AA129" si="15">IF(Z66&gt;=0," Profit", " Loss")</f>
        <v xml:space="preserve"> Profit</v>
      </c>
      <c r="AB66" s="5" t="s">
        <v>260</v>
      </c>
      <c r="AC66" s="5" t="s">
        <v>42</v>
      </c>
      <c r="AD66" s="5" t="s">
        <v>43</v>
      </c>
      <c r="AE66" s="7" t="s">
        <v>44</v>
      </c>
      <c r="AF66" s="5" t="s">
        <v>45</v>
      </c>
      <c r="AG66" s="3">
        <v>45468</v>
      </c>
      <c r="AH66" s="3">
        <v>45474</v>
      </c>
    </row>
    <row r="67" spans="1:34" ht="12" customHeight="1">
      <c r="A67" s="3">
        <v>45465</v>
      </c>
      <c r="B67" s="5" t="s">
        <v>261</v>
      </c>
      <c r="C67" s="5" t="s">
        <v>243</v>
      </c>
      <c r="D67" s="5" t="s">
        <v>36</v>
      </c>
      <c r="E67" s="5" t="s">
        <v>37</v>
      </c>
      <c r="F67" s="5" t="str">
        <f t="shared" si="8"/>
        <v>Sugar</v>
      </c>
      <c r="G67" s="5" t="s">
        <v>38</v>
      </c>
      <c r="H67" s="5" t="s">
        <v>39</v>
      </c>
      <c r="I67" s="5" t="s">
        <v>80</v>
      </c>
      <c r="J67" s="6">
        <v>10</v>
      </c>
      <c r="K67" s="6">
        <v>270</v>
      </c>
      <c r="L67" s="6">
        <v>640.5</v>
      </c>
      <c r="M67" s="6">
        <f t="shared" si="9"/>
        <v>172935</v>
      </c>
      <c r="N67" s="6">
        <v>2165.6640000000002</v>
      </c>
      <c r="O67" s="6">
        <v>610</v>
      </c>
      <c r="P67" s="6">
        <f t="shared" si="10"/>
        <v>164700</v>
      </c>
      <c r="Q67" s="6">
        <f t="shared" si="11"/>
        <v>8235</v>
      </c>
      <c r="R67" s="6">
        <v>5308</v>
      </c>
      <c r="S67" s="6">
        <v>0</v>
      </c>
      <c r="T67" s="6">
        <v>0</v>
      </c>
      <c r="U67" s="6">
        <v>0</v>
      </c>
      <c r="V67" s="6">
        <v>75.88</v>
      </c>
      <c r="W67" s="6">
        <f t="shared" si="12"/>
        <v>2165.6640000000002</v>
      </c>
      <c r="X67" s="6">
        <f t="shared" si="13"/>
        <v>5383.88</v>
      </c>
      <c r="Y67" s="6">
        <v>0</v>
      </c>
      <c r="Z67" s="6">
        <f t="shared" si="14"/>
        <v>5016.7839999999997</v>
      </c>
      <c r="AA67" s="6" t="str">
        <f t="shared" si="15"/>
        <v xml:space="preserve"> Profit</v>
      </c>
      <c r="AB67" s="5" t="s">
        <v>262</v>
      </c>
      <c r="AC67" s="5" t="s">
        <v>184</v>
      </c>
      <c r="AD67" s="5" t="s">
        <v>67</v>
      </c>
      <c r="AE67" s="7" t="s">
        <v>43</v>
      </c>
      <c r="AF67" s="7" t="s">
        <v>263</v>
      </c>
      <c r="AG67" s="3">
        <v>45469</v>
      </c>
      <c r="AH67" s="3">
        <v>45475</v>
      </c>
    </row>
    <row r="68" spans="1:34" ht="12" customHeight="1">
      <c r="A68" s="3">
        <v>45466</v>
      </c>
      <c r="B68" s="5" t="s">
        <v>264</v>
      </c>
      <c r="C68" s="5" t="s">
        <v>265</v>
      </c>
      <c r="D68" s="5" t="s">
        <v>48</v>
      </c>
      <c r="E68" s="5" t="s">
        <v>37</v>
      </c>
      <c r="F68" s="5" t="str">
        <f t="shared" si="8"/>
        <v>Sugar</v>
      </c>
      <c r="G68" s="5" t="s">
        <v>256</v>
      </c>
      <c r="H68" s="5" t="s">
        <v>39</v>
      </c>
      <c r="I68" s="5" t="s">
        <v>58</v>
      </c>
      <c r="J68" s="6">
        <v>1</v>
      </c>
      <c r="K68" s="6">
        <v>11</v>
      </c>
      <c r="L68" s="6">
        <v>3499.125</v>
      </c>
      <c r="M68" s="6">
        <f t="shared" si="9"/>
        <v>38490.375</v>
      </c>
      <c r="N68" s="6">
        <v>0</v>
      </c>
      <c r="O68" s="6">
        <v>3332.5</v>
      </c>
      <c r="P68" s="6">
        <f t="shared" si="10"/>
        <v>36657.5</v>
      </c>
      <c r="Q68" s="6">
        <f t="shared" si="11"/>
        <v>1832.875</v>
      </c>
      <c r="R68" s="6">
        <v>0</v>
      </c>
      <c r="S68" s="6">
        <v>0</v>
      </c>
      <c r="T68" s="6">
        <v>0</v>
      </c>
      <c r="U68" s="6">
        <v>0</v>
      </c>
      <c r="V68" s="6">
        <v>722.02</v>
      </c>
      <c r="W68" s="6">
        <f t="shared" si="12"/>
        <v>0</v>
      </c>
      <c r="X68" s="6">
        <f t="shared" si="13"/>
        <v>722.02</v>
      </c>
      <c r="Y68" s="6">
        <v>0</v>
      </c>
      <c r="Z68" s="6">
        <f t="shared" si="14"/>
        <v>1110.855</v>
      </c>
      <c r="AA68" s="6" t="str">
        <f t="shared" si="15"/>
        <v xml:space="preserve"> Profit</v>
      </c>
      <c r="AB68" s="5" t="s">
        <v>266</v>
      </c>
      <c r="AC68" s="5" t="s">
        <v>184</v>
      </c>
      <c r="AD68" s="5" t="s">
        <v>67</v>
      </c>
      <c r="AE68" s="7" t="s">
        <v>43</v>
      </c>
      <c r="AF68" s="7" t="s">
        <v>263</v>
      </c>
      <c r="AG68" s="3">
        <v>45470</v>
      </c>
      <c r="AH68" s="3">
        <v>45476</v>
      </c>
    </row>
    <row r="69" spans="1:34" ht="12" customHeight="1">
      <c r="A69" s="3">
        <v>45467</v>
      </c>
      <c r="B69" s="5" t="s">
        <v>267</v>
      </c>
      <c r="C69" s="5" t="s">
        <v>268</v>
      </c>
      <c r="D69" s="5" t="s">
        <v>48</v>
      </c>
      <c r="E69" s="5" t="s">
        <v>100</v>
      </c>
      <c r="F69" s="5" t="str">
        <f t="shared" si="8"/>
        <v>Cloves</v>
      </c>
      <c r="G69" s="5" t="s">
        <v>38</v>
      </c>
      <c r="H69" s="5" t="s">
        <v>101</v>
      </c>
      <c r="I69" s="5" t="s">
        <v>58</v>
      </c>
      <c r="J69" s="6">
        <v>1</v>
      </c>
      <c r="K69" s="6">
        <v>25</v>
      </c>
      <c r="L69" s="6">
        <v>9135</v>
      </c>
      <c r="M69" s="6">
        <f t="shared" si="9"/>
        <v>228375</v>
      </c>
      <c r="N69" s="6">
        <v>0</v>
      </c>
      <c r="O69" s="6">
        <v>8700</v>
      </c>
      <c r="P69" s="6">
        <f t="shared" si="10"/>
        <v>217500</v>
      </c>
      <c r="Q69" s="6">
        <f t="shared" si="11"/>
        <v>10875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f t="shared" si="12"/>
        <v>0</v>
      </c>
      <c r="X69" s="6">
        <f t="shared" si="13"/>
        <v>0</v>
      </c>
      <c r="Y69" s="6">
        <v>0</v>
      </c>
      <c r="Z69" s="6">
        <f t="shared" si="14"/>
        <v>10875</v>
      </c>
      <c r="AA69" s="6" t="str">
        <f t="shared" si="15"/>
        <v xml:space="preserve"> Profit</v>
      </c>
      <c r="AB69" s="5" t="s">
        <v>269</v>
      </c>
      <c r="AC69" s="5" t="s">
        <v>77</v>
      </c>
      <c r="AD69" s="5" t="s">
        <v>103</v>
      </c>
      <c r="AE69" s="7" t="s">
        <v>44</v>
      </c>
      <c r="AF69" s="5" t="s">
        <v>45</v>
      </c>
      <c r="AG69" s="3">
        <v>45471</v>
      </c>
      <c r="AH69" s="3">
        <v>45477</v>
      </c>
    </row>
    <row r="70" spans="1:34" ht="12" customHeight="1">
      <c r="A70" s="3">
        <v>45469</v>
      </c>
      <c r="B70" s="5" t="s">
        <v>270</v>
      </c>
      <c r="C70" s="5" t="s">
        <v>271</v>
      </c>
      <c r="D70" s="5" t="s">
        <v>36</v>
      </c>
      <c r="E70" s="5" t="s">
        <v>37</v>
      </c>
      <c r="F70" s="5" t="str">
        <f t="shared" si="8"/>
        <v>Sugar</v>
      </c>
      <c r="G70" s="5" t="s">
        <v>49</v>
      </c>
      <c r="H70" s="5" t="s">
        <v>272</v>
      </c>
      <c r="I70" s="5" t="s">
        <v>80</v>
      </c>
      <c r="J70" s="6">
        <v>20</v>
      </c>
      <c r="K70" s="6">
        <v>540</v>
      </c>
      <c r="L70" s="6">
        <f>597-20</f>
        <v>577</v>
      </c>
      <c r="M70" s="6">
        <f t="shared" si="9"/>
        <v>311580</v>
      </c>
      <c r="N70" s="6">
        <v>4817.3172000000004</v>
      </c>
      <c r="O70" s="6">
        <v>597</v>
      </c>
      <c r="P70" s="6">
        <f t="shared" si="10"/>
        <v>322380</v>
      </c>
      <c r="Q70" s="6">
        <f t="shared" si="11"/>
        <v>-10800</v>
      </c>
      <c r="R70" s="6">
        <v>11807.15</v>
      </c>
      <c r="S70" s="6">
        <v>0</v>
      </c>
      <c r="T70" s="6">
        <v>0</v>
      </c>
      <c r="U70" s="6">
        <v>0</v>
      </c>
      <c r="V70" s="6">
        <v>342.63499999999999</v>
      </c>
      <c r="W70" s="6">
        <f t="shared" si="12"/>
        <v>4817.3172000000004</v>
      </c>
      <c r="X70" s="6">
        <f t="shared" si="13"/>
        <v>12149.785</v>
      </c>
      <c r="Y70" s="6">
        <v>0</v>
      </c>
      <c r="Z70" s="6">
        <f t="shared" si="14"/>
        <v>-18132.467799999999</v>
      </c>
      <c r="AA70" s="6" t="str">
        <f t="shared" si="15"/>
        <v xml:space="preserve"> Loss</v>
      </c>
      <c r="AB70" s="5" t="s">
        <v>967</v>
      </c>
      <c r="AC70" s="5" t="s">
        <v>82</v>
      </c>
      <c r="AD70" s="5" t="s">
        <v>88</v>
      </c>
      <c r="AE70" s="7" t="s">
        <v>43</v>
      </c>
      <c r="AF70" s="7" t="s">
        <v>263</v>
      </c>
      <c r="AG70" s="3">
        <v>45473</v>
      </c>
      <c r="AH70" s="3">
        <v>45479</v>
      </c>
    </row>
    <row r="71" spans="1:34" ht="12" customHeight="1">
      <c r="A71" s="3">
        <v>45484</v>
      </c>
      <c r="B71" s="5" t="s">
        <v>274</v>
      </c>
      <c r="C71" s="5" t="s">
        <v>275</v>
      </c>
      <c r="D71" s="5" t="s">
        <v>62</v>
      </c>
      <c r="E71" s="5" t="s">
        <v>157</v>
      </c>
      <c r="F71" s="5" t="str">
        <f t="shared" si="8"/>
        <v>Sugar</v>
      </c>
      <c r="G71" s="5" t="s">
        <v>38</v>
      </c>
      <c r="H71" s="5" t="s">
        <v>57</v>
      </c>
      <c r="I71" s="5" t="s">
        <v>58</v>
      </c>
      <c r="J71" s="6">
        <v>0</v>
      </c>
      <c r="K71" s="6">
        <v>0.25</v>
      </c>
      <c r="L71" s="6">
        <v>992</v>
      </c>
      <c r="M71" s="6">
        <f t="shared" si="9"/>
        <v>248</v>
      </c>
      <c r="N71" s="6">
        <v>0</v>
      </c>
      <c r="O71" s="6">
        <v>455</v>
      </c>
      <c r="P71" s="6">
        <f t="shared" si="10"/>
        <v>113.75</v>
      </c>
      <c r="Q71" s="6">
        <f t="shared" si="11"/>
        <v>134.25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f t="shared" si="12"/>
        <v>0</v>
      </c>
      <c r="X71" s="6">
        <f t="shared" si="13"/>
        <v>0</v>
      </c>
      <c r="Y71" s="6">
        <v>0</v>
      </c>
      <c r="Z71" s="6">
        <f t="shared" si="14"/>
        <v>134.25</v>
      </c>
      <c r="AA71" s="6" t="str">
        <f t="shared" si="15"/>
        <v xml:space="preserve"> Profit</v>
      </c>
      <c r="AB71" s="5" t="s">
        <v>968</v>
      </c>
      <c r="AC71" s="5" t="s">
        <v>159</v>
      </c>
      <c r="AD71" s="5" t="s">
        <v>160</v>
      </c>
      <c r="AE71" s="5" t="s">
        <v>161</v>
      </c>
      <c r="AF71" s="5" t="s">
        <v>45</v>
      </c>
      <c r="AG71" s="3">
        <v>45939</v>
      </c>
      <c r="AH71" s="3">
        <v>45945</v>
      </c>
    </row>
    <row r="72" spans="1:34" ht="12" customHeight="1">
      <c r="A72" s="3">
        <v>45488</v>
      </c>
      <c r="B72" s="5" t="s">
        <v>276</v>
      </c>
      <c r="C72" s="5" t="s">
        <v>275</v>
      </c>
      <c r="D72" s="5" t="s">
        <v>85</v>
      </c>
      <c r="E72" s="5" t="s">
        <v>37</v>
      </c>
      <c r="F72" s="5" t="str">
        <f t="shared" si="8"/>
        <v>Sugar</v>
      </c>
      <c r="G72" s="5" t="s">
        <v>38</v>
      </c>
      <c r="H72" s="5" t="s">
        <v>39</v>
      </c>
      <c r="I72" s="5" t="s">
        <v>80</v>
      </c>
      <c r="J72" s="6">
        <v>10</v>
      </c>
      <c r="K72" s="6">
        <v>270</v>
      </c>
      <c r="L72" s="6">
        <v>558</v>
      </c>
      <c r="M72" s="6">
        <f t="shared" si="9"/>
        <v>150660</v>
      </c>
      <c r="N72" s="6">
        <v>5034.7794784810203</v>
      </c>
      <c r="O72" s="6">
        <v>593</v>
      </c>
      <c r="P72" s="6">
        <f t="shared" si="10"/>
        <v>160110</v>
      </c>
      <c r="Q72" s="6">
        <f t="shared" si="11"/>
        <v>-9450</v>
      </c>
      <c r="R72" s="6">
        <v>12340.145780590699</v>
      </c>
      <c r="S72" s="6">
        <v>0</v>
      </c>
      <c r="T72" s="6">
        <v>0</v>
      </c>
      <c r="U72" s="6">
        <v>0</v>
      </c>
      <c r="V72" s="6">
        <v>3667.95</v>
      </c>
      <c r="W72" s="6">
        <f t="shared" si="12"/>
        <v>5034.7794784810203</v>
      </c>
      <c r="X72" s="6">
        <f t="shared" si="13"/>
        <v>16008.095780590698</v>
      </c>
      <c r="Y72" s="6">
        <v>0</v>
      </c>
      <c r="Z72" s="6">
        <f t="shared" si="14"/>
        <v>-20423.316302109677</v>
      </c>
      <c r="AA72" s="6" t="str">
        <f t="shared" si="15"/>
        <v xml:space="preserve"> Loss</v>
      </c>
      <c r="AB72" s="5" t="s">
        <v>277</v>
      </c>
      <c r="AC72" s="5" t="s">
        <v>77</v>
      </c>
      <c r="AD72" s="5" t="s">
        <v>67</v>
      </c>
      <c r="AE72" s="7" t="s">
        <v>44</v>
      </c>
      <c r="AF72" s="5" t="s">
        <v>45</v>
      </c>
      <c r="AG72" s="3">
        <v>45492</v>
      </c>
      <c r="AH72" s="3">
        <v>45498</v>
      </c>
    </row>
    <row r="73" spans="1:34" ht="12" customHeight="1">
      <c r="A73" s="3">
        <v>45492</v>
      </c>
      <c r="B73" s="5" t="s">
        <v>278</v>
      </c>
      <c r="C73" s="5" t="s">
        <v>275</v>
      </c>
      <c r="D73" s="5" t="s">
        <v>154</v>
      </c>
      <c r="E73" s="5" t="s">
        <v>37</v>
      </c>
      <c r="F73" s="5" t="str">
        <f t="shared" si="8"/>
        <v>Sugar</v>
      </c>
      <c r="G73" s="5" t="s">
        <v>38</v>
      </c>
      <c r="H73" s="5" t="s">
        <v>39</v>
      </c>
      <c r="I73" s="5" t="s">
        <v>80</v>
      </c>
      <c r="J73" s="6">
        <v>10</v>
      </c>
      <c r="K73" s="6">
        <v>270</v>
      </c>
      <c r="L73" s="6">
        <v>0.2</v>
      </c>
      <c r="M73" s="6">
        <f t="shared" si="9"/>
        <v>54</v>
      </c>
      <c r="N73" s="6">
        <v>5018.3999999999996</v>
      </c>
      <c r="O73" s="6">
        <v>593</v>
      </c>
      <c r="P73" s="6">
        <f t="shared" si="10"/>
        <v>160110</v>
      </c>
      <c r="Q73" s="6">
        <f t="shared" si="11"/>
        <v>-160056</v>
      </c>
      <c r="R73" s="6">
        <v>12300</v>
      </c>
      <c r="S73" s="6">
        <v>0</v>
      </c>
      <c r="T73" s="6">
        <v>0</v>
      </c>
      <c r="U73" s="6">
        <v>0</v>
      </c>
      <c r="V73" s="6">
        <v>120.45</v>
      </c>
      <c r="W73" s="6">
        <f t="shared" si="12"/>
        <v>5018.3999999999996</v>
      </c>
      <c r="X73" s="6">
        <f t="shared" si="13"/>
        <v>12420.45</v>
      </c>
      <c r="Y73" s="6">
        <v>0</v>
      </c>
      <c r="Z73" s="6">
        <f t="shared" si="14"/>
        <v>-167458.05000000002</v>
      </c>
      <c r="AA73" s="6" t="str">
        <f t="shared" si="15"/>
        <v xml:space="preserve"> Loss</v>
      </c>
      <c r="AB73" s="5" t="s">
        <v>1010</v>
      </c>
      <c r="AC73" s="5" t="s">
        <v>184</v>
      </c>
      <c r="AD73" s="5" t="s">
        <v>67</v>
      </c>
      <c r="AE73" s="7" t="s">
        <v>44</v>
      </c>
      <c r="AF73" s="5" t="s">
        <v>45</v>
      </c>
      <c r="AG73" s="3">
        <v>45496</v>
      </c>
      <c r="AH73" s="3">
        <v>45502</v>
      </c>
    </row>
    <row r="74" spans="1:34" ht="12" customHeight="1">
      <c r="A74" s="3">
        <v>45494</v>
      </c>
      <c r="B74" s="5" t="s">
        <v>280</v>
      </c>
      <c r="C74" s="5" t="s">
        <v>281</v>
      </c>
      <c r="D74" s="5" t="s">
        <v>48</v>
      </c>
      <c r="E74" s="5" t="s">
        <v>63</v>
      </c>
      <c r="F74" s="5" t="str">
        <f t="shared" si="8"/>
        <v>Rice</v>
      </c>
      <c r="G74" s="5" t="s">
        <v>49</v>
      </c>
      <c r="H74" s="5" t="s">
        <v>64</v>
      </c>
      <c r="I74" s="5" t="s">
        <v>40</v>
      </c>
      <c r="J74" s="6">
        <v>30</v>
      </c>
      <c r="K74" s="6">
        <v>360</v>
      </c>
      <c r="L74" s="6">
        <v>707.7</v>
      </c>
      <c r="M74" s="6">
        <f t="shared" si="9"/>
        <v>254772.00000000003</v>
      </c>
      <c r="N74" s="6">
        <v>22034.9172</v>
      </c>
      <c r="O74" s="6">
        <v>674</v>
      </c>
      <c r="P74" s="6">
        <f t="shared" si="10"/>
        <v>242640</v>
      </c>
      <c r="Q74" s="6">
        <f t="shared" si="11"/>
        <v>12132.000000000029</v>
      </c>
      <c r="R74" s="6">
        <v>54007.15</v>
      </c>
      <c r="S74" s="6">
        <v>4320.5720000000001</v>
      </c>
      <c r="T74" s="6">
        <v>0</v>
      </c>
      <c r="U74" s="6">
        <v>1296.1715999999999</v>
      </c>
      <c r="V74" s="6">
        <v>123.24</v>
      </c>
      <c r="W74" s="6">
        <f t="shared" si="12"/>
        <v>22034.9172</v>
      </c>
      <c r="X74" s="6">
        <f t="shared" si="13"/>
        <v>59747.133600000001</v>
      </c>
      <c r="Y74" s="6">
        <v>0</v>
      </c>
      <c r="Z74" s="6">
        <f t="shared" si="14"/>
        <v>-25580.216399999972</v>
      </c>
      <c r="AA74" s="6" t="str">
        <f t="shared" si="15"/>
        <v xml:space="preserve"> Loss</v>
      </c>
      <c r="AB74" s="5" t="s">
        <v>279</v>
      </c>
      <c r="AC74" s="5" t="s">
        <v>193</v>
      </c>
      <c r="AD74" s="5" t="s">
        <v>67</v>
      </c>
      <c r="AE74" s="7" t="s">
        <v>44</v>
      </c>
      <c r="AF74" s="5" t="s">
        <v>45</v>
      </c>
      <c r="AG74" s="3">
        <v>45498</v>
      </c>
      <c r="AH74" s="3">
        <v>45504</v>
      </c>
    </row>
    <row r="75" spans="1:34" ht="12" customHeight="1">
      <c r="A75" s="3">
        <v>45493</v>
      </c>
      <c r="B75" s="5" t="s">
        <v>282</v>
      </c>
      <c r="C75" s="5" t="s">
        <v>283</v>
      </c>
      <c r="D75" s="5" t="s">
        <v>48</v>
      </c>
      <c r="E75" s="5" t="s">
        <v>37</v>
      </c>
      <c r="F75" s="5" t="str">
        <f t="shared" si="8"/>
        <v>Sugar</v>
      </c>
      <c r="G75" s="5" t="s">
        <v>49</v>
      </c>
      <c r="H75" s="5" t="s">
        <v>39</v>
      </c>
      <c r="I75" s="5" t="s">
        <v>40</v>
      </c>
      <c r="J75" s="6">
        <v>10</v>
      </c>
      <c r="K75" s="6">
        <v>270</v>
      </c>
      <c r="L75" s="6">
        <v>610.04999999999995</v>
      </c>
      <c r="M75" s="6">
        <f t="shared" si="9"/>
        <v>164713.5</v>
      </c>
      <c r="N75" s="6">
        <v>7299.8392089832596</v>
      </c>
      <c r="O75" s="6">
        <v>581</v>
      </c>
      <c r="P75" s="6">
        <f t="shared" si="10"/>
        <v>156870</v>
      </c>
      <c r="Q75" s="6">
        <f t="shared" si="11"/>
        <v>7843.5</v>
      </c>
      <c r="R75" s="6">
        <v>17891.762767115801</v>
      </c>
      <c r="S75" s="6">
        <v>1431.34102136927</v>
      </c>
      <c r="T75" s="6">
        <v>0</v>
      </c>
      <c r="U75" s="6">
        <v>429.40230641078</v>
      </c>
      <c r="V75" s="6">
        <v>213.45</v>
      </c>
      <c r="W75" s="6">
        <f t="shared" si="12"/>
        <v>7299.8392089832596</v>
      </c>
      <c r="X75" s="6">
        <f t="shared" si="13"/>
        <v>19965.95609489585</v>
      </c>
      <c r="Y75" s="6">
        <v>0</v>
      </c>
      <c r="Z75" s="6">
        <f t="shared" si="14"/>
        <v>-4822.6168859125901</v>
      </c>
      <c r="AA75" s="6" t="str">
        <f t="shared" si="15"/>
        <v xml:space="preserve"> Loss</v>
      </c>
      <c r="AB75" s="5" t="s">
        <v>284</v>
      </c>
      <c r="AC75" s="5" t="s">
        <v>82</v>
      </c>
      <c r="AD75" s="5" t="s">
        <v>43</v>
      </c>
      <c r="AE75" s="7" t="s">
        <v>44</v>
      </c>
      <c r="AF75" s="5" t="s">
        <v>45</v>
      </c>
      <c r="AG75" s="3">
        <v>45497</v>
      </c>
      <c r="AH75" s="3">
        <v>45503</v>
      </c>
    </row>
    <row r="76" spans="1:34" ht="12" customHeight="1">
      <c r="A76" s="3">
        <v>45494</v>
      </c>
      <c r="B76" s="5" t="s">
        <v>285</v>
      </c>
      <c r="C76" s="5" t="s">
        <v>283</v>
      </c>
      <c r="D76" s="5" t="s">
        <v>62</v>
      </c>
      <c r="E76" s="5" t="s">
        <v>37</v>
      </c>
      <c r="F76" s="5" t="str">
        <f t="shared" si="8"/>
        <v>Sugar</v>
      </c>
      <c r="G76" s="5" t="s">
        <v>49</v>
      </c>
      <c r="H76" s="5" t="s">
        <v>39</v>
      </c>
      <c r="I76" s="5" t="s">
        <v>40</v>
      </c>
      <c r="J76" s="6">
        <v>20</v>
      </c>
      <c r="K76" s="6">
        <v>486</v>
      </c>
      <c r="L76" s="6">
        <v>622.65</v>
      </c>
      <c r="M76" s="6">
        <f t="shared" si="9"/>
        <v>302607.89999999997</v>
      </c>
      <c r="N76" s="6">
        <v>14549.28</v>
      </c>
      <c r="O76" s="6">
        <v>593</v>
      </c>
      <c r="P76" s="6">
        <f t="shared" si="10"/>
        <v>288198</v>
      </c>
      <c r="Q76" s="6">
        <f t="shared" si="11"/>
        <v>14409.899999999965</v>
      </c>
      <c r="R76" s="6">
        <v>35660</v>
      </c>
      <c r="S76" s="6">
        <v>2852.8</v>
      </c>
      <c r="T76" s="6">
        <v>0</v>
      </c>
      <c r="U76" s="6">
        <v>855.84</v>
      </c>
      <c r="V76" s="6">
        <v>175.22</v>
      </c>
      <c r="W76" s="6">
        <f t="shared" si="12"/>
        <v>14549.28</v>
      </c>
      <c r="X76" s="6">
        <f t="shared" si="13"/>
        <v>39543.86</v>
      </c>
      <c r="Y76" s="6">
        <v>0</v>
      </c>
      <c r="Z76" s="6">
        <f t="shared" si="14"/>
        <v>-10584.680000000035</v>
      </c>
      <c r="AA76" s="6" t="str">
        <f t="shared" si="15"/>
        <v xml:space="preserve"> Loss</v>
      </c>
      <c r="AB76" s="5" t="s">
        <v>286</v>
      </c>
      <c r="AC76" s="5" t="s">
        <v>82</v>
      </c>
      <c r="AD76" s="5" t="s">
        <v>43</v>
      </c>
      <c r="AE76" s="7" t="s">
        <v>44</v>
      </c>
      <c r="AF76" s="5" t="s">
        <v>45</v>
      </c>
      <c r="AG76" s="3">
        <v>45498</v>
      </c>
      <c r="AH76" s="3">
        <v>45504</v>
      </c>
    </row>
    <row r="77" spans="1:34" ht="12" customHeight="1">
      <c r="A77" s="3">
        <v>45499</v>
      </c>
      <c r="B77" s="5" t="s">
        <v>287</v>
      </c>
      <c r="C77" s="5" t="s">
        <v>288</v>
      </c>
      <c r="D77" s="5" t="s">
        <v>91</v>
      </c>
      <c r="E77" s="5" t="s">
        <v>37</v>
      </c>
      <c r="F77" s="5" t="str">
        <f t="shared" si="8"/>
        <v>Sugar</v>
      </c>
      <c r="G77" s="5" t="s">
        <v>49</v>
      </c>
      <c r="H77" s="5" t="s">
        <v>39</v>
      </c>
      <c r="I77" s="5" t="s">
        <v>40</v>
      </c>
      <c r="J77" s="6">
        <v>12</v>
      </c>
      <c r="K77" s="6">
        <v>324</v>
      </c>
      <c r="L77" s="6">
        <v>642.6</v>
      </c>
      <c r="M77" s="6">
        <f t="shared" si="9"/>
        <v>208202.4</v>
      </c>
      <c r="N77" s="6">
        <v>7213.4994784810197</v>
      </c>
      <c r="O77" s="6">
        <v>612</v>
      </c>
      <c r="P77" s="6">
        <f t="shared" si="10"/>
        <v>198288</v>
      </c>
      <c r="Q77" s="6">
        <f t="shared" si="11"/>
        <v>9914.3999999999942</v>
      </c>
      <c r="R77" s="6">
        <v>17680.145780590701</v>
      </c>
      <c r="S77" s="6">
        <v>1414.4116624472599</v>
      </c>
      <c r="T77" s="6">
        <v>0</v>
      </c>
      <c r="U77" s="6">
        <v>424.32349873417701</v>
      </c>
      <c r="V77" s="6">
        <v>291.33494487545897</v>
      </c>
      <c r="W77" s="6">
        <f t="shared" si="12"/>
        <v>7213.4994784810197</v>
      </c>
      <c r="X77" s="6">
        <f t="shared" si="13"/>
        <v>19810.215886647598</v>
      </c>
      <c r="Y77" s="6">
        <v>0</v>
      </c>
      <c r="Z77" s="6">
        <f t="shared" si="14"/>
        <v>-2682.3164081665846</v>
      </c>
      <c r="AA77" s="6" t="str">
        <f t="shared" si="15"/>
        <v xml:space="preserve"> Loss</v>
      </c>
      <c r="AB77" s="5" t="s">
        <v>289</v>
      </c>
      <c r="AC77" s="5" t="s">
        <v>82</v>
      </c>
      <c r="AD77" s="5" t="s">
        <v>43</v>
      </c>
      <c r="AE77" s="7" t="s">
        <v>44</v>
      </c>
      <c r="AF77" s="5" t="s">
        <v>45</v>
      </c>
      <c r="AG77" s="3">
        <v>45503</v>
      </c>
      <c r="AH77" s="3">
        <v>45509</v>
      </c>
    </row>
    <row r="78" spans="1:34" ht="12" customHeight="1">
      <c r="A78" s="3">
        <v>45501</v>
      </c>
      <c r="B78" s="5" t="s">
        <v>290</v>
      </c>
      <c r="C78" s="5" t="s">
        <v>234</v>
      </c>
      <c r="D78" s="5" t="s">
        <v>85</v>
      </c>
      <c r="E78" s="5" t="s">
        <v>63</v>
      </c>
      <c r="F78" s="5" t="str">
        <f t="shared" si="8"/>
        <v>Rice</v>
      </c>
      <c r="G78" s="5" t="s">
        <v>49</v>
      </c>
      <c r="H78" s="5" t="s">
        <v>64</v>
      </c>
      <c r="I78" s="5" t="s">
        <v>58</v>
      </c>
      <c r="J78" s="6">
        <v>50</v>
      </c>
      <c r="K78" s="6">
        <v>1325</v>
      </c>
      <c r="L78" s="6">
        <v>538.65</v>
      </c>
      <c r="M78" s="6">
        <f t="shared" si="9"/>
        <v>713711.25</v>
      </c>
      <c r="N78" s="6">
        <v>0</v>
      </c>
      <c r="O78" s="6">
        <v>513</v>
      </c>
      <c r="P78" s="6">
        <f t="shared" si="10"/>
        <v>679725</v>
      </c>
      <c r="Q78" s="6">
        <f t="shared" si="11"/>
        <v>33986.25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f t="shared" si="12"/>
        <v>0</v>
      </c>
      <c r="X78" s="6">
        <f t="shared" si="13"/>
        <v>0</v>
      </c>
      <c r="Y78" s="6">
        <v>0</v>
      </c>
      <c r="Z78" s="6">
        <f t="shared" si="14"/>
        <v>33986.25</v>
      </c>
      <c r="AA78" s="6" t="str">
        <f t="shared" si="15"/>
        <v xml:space="preserve"> Profit</v>
      </c>
      <c r="AB78" s="5" t="s">
        <v>291</v>
      </c>
      <c r="AC78" s="5" t="s">
        <v>42</v>
      </c>
      <c r="AD78" s="5" t="s">
        <v>43</v>
      </c>
      <c r="AE78" s="7" t="s">
        <v>44</v>
      </c>
      <c r="AF78" s="5" t="s">
        <v>45</v>
      </c>
      <c r="AG78" s="3">
        <v>45505</v>
      </c>
      <c r="AH78" s="3">
        <v>45511</v>
      </c>
    </row>
    <row r="79" spans="1:34" ht="12" customHeight="1">
      <c r="A79" s="3">
        <v>45503</v>
      </c>
      <c r="B79" s="5" t="s">
        <v>292</v>
      </c>
      <c r="C79" s="5" t="s">
        <v>293</v>
      </c>
      <c r="D79" s="5" t="s">
        <v>53</v>
      </c>
      <c r="E79" s="5" t="s">
        <v>37</v>
      </c>
      <c r="F79" s="5" t="str">
        <f t="shared" si="8"/>
        <v>Sugar</v>
      </c>
      <c r="G79" s="5" t="s">
        <v>38</v>
      </c>
      <c r="H79" s="5" t="s">
        <v>39</v>
      </c>
      <c r="I79" s="5" t="s">
        <v>40</v>
      </c>
      <c r="J79" s="6">
        <v>10</v>
      </c>
      <c r="K79" s="6">
        <v>176</v>
      </c>
      <c r="L79" s="6">
        <v>610.04999999999995</v>
      </c>
      <c r="M79" s="6">
        <f t="shared" si="9"/>
        <v>107368.79999999999</v>
      </c>
      <c r="N79" s="6">
        <v>5822.8792089832596</v>
      </c>
      <c r="O79" s="6">
        <v>581</v>
      </c>
      <c r="P79" s="6">
        <f t="shared" si="10"/>
        <v>102256</v>
      </c>
      <c r="Q79" s="6">
        <f t="shared" si="11"/>
        <v>5112.7999999999884</v>
      </c>
      <c r="R79" s="6">
        <v>14271.762767115801</v>
      </c>
      <c r="S79" s="6">
        <v>1141.7410213692699</v>
      </c>
      <c r="T79" s="6">
        <v>0</v>
      </c>
      <c r="U79" s="6">
        <v>342.52230641078</v>
      </c>
      <c r="V79" s="6">
        <v>84.72</v>
      </c>
      <c r="W79" s="6">
        <f t="shared" si="12"/>
        <v>5822.8792089832596</v>
      </c>
      <c r="X79" s="6">
        <f t="shared" si="13"/>
        <v>15840.746094895849</v>
      </c>
      <c r="Y79" s="6">
        <v>0</v>
      </c>
      <c r="Z79" s="6">
        <f t="shared" si="14"/>
        <v>-4905.0668859126008</v>
      </c>
      <c r="AA79" s="6" t="str">
        <f t="shared" si="15"/>
        <v xml:space="preserve"> Loss</v>
      </c>
      <c r="AB79" s="5" t="s">
        <v>983</v>
      </c>
      <c r="AC79" s="5" t="s">
        <v>42</v>
      </c>
      <c r="AD79" s="5" t="s">
        <v>43</v>
      </c>
      <c r="AE79" s="7" t="s">
        <v>44</v>
      </c>
      <c r="AF79" s="5" t="s">
        <v>45</v>
      </c>
      <c r="AG79" s="3">
        <v>45507</v>
      </c>
      <c r="AH79" s="3">
        <v>45513</v>
      </c>
    </row>
    <row r="80" spans="1:34" ht="12" customHeight="1">
      <c r="A80" s="3">
        <v>45502</v>
      </c>
      <c r="B80" s="5" t="s">
        <v>295</v>
      </c>
      <c r="C80" s="5" t="s">
        <v>293</v>
      </c>
      <c r="D80" s="5" t="s">
        <v>91</v>
      </c>
      <c r="E80" s="5" t="s">
        <v>37</v>
      </c>
      <c r="F80" s="5" t="str">
        <f t="shared" si="8"/>
        <v>Sugar</v>
      </c>
      <c r="G80" s="5" t="s">
        <v>38</v>
      </c>
      <c r="H80" s="5" t="s">
        <v>39</v>
      </c>
      <c r="I80" s="5" t="s">
        <v>80</v>
      </c>
      <c r="J80" s="6">
        <v>10</v>
      </c>
      <c r="K80" s="6">
        <v>270</v>
      </c>
      <c r="L80" s="6">
        <v>622.65</v>
      </c>
      <c r="M80" s="6">
        <f t="shared" si="9"/>
        <v>168115.5</v>
      </c>
      <c r="N80" s="6">
        <v>5797.68</v>
      </c>
      <c r="O80" s="6">
        <v>593</v>
      </c>
      <c r="P80" s="6">
        <f t="shared" si="10"/>
        <v>160110</v>
      </c>
      <c r="Q80" s="6">
        <f t="shared" si="11"/>
        <v>8005.5</v>
      </c>
      <c r="R80" s="6">
        <v>14210</v>
      </c>
      <c r="S80" s="6">
        <v>0</v>
      </c>
      <c r="T80" s="6">
        <v>0</v>
      </c>
      <c r="U80" s="6">
        <v>0</v>
      </c>
      <c r="V80" s="6">
        <v>120.45</v>
      </c>
      <c r="W80" s="6">
        <f t="shared" si="12"/>
        <v>5797.68</v>
      </c>
      <c r="X80" s="6">
        <f t="shared" si="13"/>
        <v>14330.45</v>
      </c>
      <c r="Y80" s="6">
        <v>0</v>
      </c>
      <c r="Z80" s="6">
        <f t="shared" si="14"/>
        <v>-527.27000000000044</v>
      </c>
      <c r="AA80" s="6" t="str">
        <f t="shared" si="15"/>
        <v xml:space="preserve"> Loss</v>
      </c>
      <c r="AB80" s="5" t="s">
        <v>294</v>
      </c>
      <c r="AC80" s="5" t="s">
        <v>220</v>
      </c>
      <c r="AD80" s="5" t="s">
        <v>43</v>
      </c>
      <c r="AE80" s="7" t="s">
        <v>44</v>
      </c>
      <c r="AF80" s="5" t="s">
        <v>45</v>
      </c>
      <c r="AG80" s="3">
        <v>45506</v>
      </c>
      <c r="AH80" s="3">
        <v>45512</v>
      </c>
    </row>
    <row r="81" spans="1:34" ht="12" customHeight="1">
      <c r="A81" s="3">
        <v>45510</v>
      </c>
      <c r="B81" s="5" t="s">
        <v>296</v>
      </c>
      <c r="C81" s="5" t="s">
        <v>293</v>
      </c>
      <c r="D81" s="5" t="s">
        <v>62</v>
      </c>
      <c r="E81" s="5" t="s">
        <v>37</v>
      </c>
      <c r="F81" s="5" t="str">
        <f t="shared" si="8"/>
        <v>Sugar</v>
      </c>
      <c r="G81" s="5" t="s">
        <v>38</v>
      </c>
      <c r="H81" s="5" t="s">
        <v>39</v>
      </c>
      <c r="I81" s="5" t="s">
        <v>80</v>
      </c>
      <c r="J81" s="6">
        <v>10</v>
      </c>
      <c r="K81" s="6">
        <v>270</v>
      </c>
      <c r="L81" s="6">
        <v>644.79449999999997</v>
      </c>
      <c r="M81" s="6">
        <f t="shared" si="9"/>
        <v>174094.51499999998</v>
      </c>
      <c r="N81" s="6">
        <v>5797.68</v>
      </c>
      <c r="O81" s="6">
        <v>614.09</v>
      </c>
      <c r="P81" s="6">
        <f t="shared" si="10"/>
        <v>165804.30000000002</v>
      </c>
      <c r="Q81" s="6">
        <f t="shared" si="11"/>
        <v>8290.2149999999674</v>
      </c>
      <c r="R81" s="6">
        <v>14210</v>
      </c>
      <c r="S81" s="6">
        <v>0</v>
      </c>
      <c r="T81" s="6">
        <v>0</v>
      </c>
      <c r="U81" s="6">
        <v>0</v>
      </c>
      <c r="V81" s="6">
        <v>127.6</v>
      </c>
      <c r="W81" s="6">
        <f t="shared" si="12"/>
        <v>5797.68</v>
      </c>
      <c r="X81" s="6">
        <f t="shared" si="13"/>
        <v>14337.6</v>
      </c>
      <c r="Y81" s="6">
        <v>0</v>
      </c>
      <c r="Z81" s="6">
        <f t="shared" si="14"/>
        <v>-249.70500000003267</v>
      </c>
      <c r="AA81" s="6" t="str">
        <f t="shared" si="15"/>
        <v xml:space="preserve"> Loss</v>
      </c>
      <c r="AB81" s="5" t="s">
        <v>297</v>
      </c>
      <c r="AC81" s="5" t="s">
        <v>82</v>
      </c>
      <c r="AD81" s="5" t="s">
        <v>88</v>
      </c>
      <c r="AE81" s="8" t="s">
        <v>185</v>
      </c>
      <c r="AF81" s="8" t="s">
        <v>185</v>
      </c>
      <c r="AG81" s="3">
        <v>45514</v>
      </c>
      <c r="AH81" s="3">
        <v>45520</v>
      </c>
    </row>
    <row r="82" spans="1:34" ht="12" customHeight="1">
      <c r="A82" s="3">
        <v>45512</v>
      </c>
      <c r="B82" s="5" t="s">
        <v>298</v>
      </c>
      <c r="C82" s="5" t="s">
        <v>299</v>
      </c>
      <c r="D82" s="5" t="s">
        <v>36</v>
      </c>
      <c r="E82" s="5" t="s">
        <v>37</v>
      </c>
      <c r="F82" s="5" t="str">
        <f t="shared" si="8"/>
        <v>Sugar</v>
      </c>
      <c r="G82" s="5" t="s">
        <v>49</v>
      </c>
      <c r="H82" s="5" t="s">
        <v>39</v>
      </c>
      <c r="I82" s="5" t="s">
        <v>80</v>
      </c>
      <c r="J82" s="6">
        <v>28</v>
      </c>
      <c r="K82" s="6">
        <v>280</v>
      </c>
      <c r="L82" s="6">
        <v>644.79449999999997</v>
      </c>
      <c r="M82" s="6">
        <f t="shared" si="9"/>
        <v>180542.46</v>
      </c>
      <c r="N82" s="6">
        <v>15688.0692</v>
      </c>
      <c r="O82" s="6">
        <v>614.09</v>
      </c>
      <c r="P82" s="6">
        <f t="shared" si="10"/>
        <v>171945.2</v>
      </c>
      <c r="Q82" s="6">
        <f t="shared" si="11"/>
        <v>8597.2599999999802</v>
      </c>
      <c r="R82" s="6">
        <v>38451.15</v>
      </c>
      <c r="S82" s="6">
        <v>0</v>
      </c>
      <c r="T82" s="6">
        <v>0</v>
      </c>
      <c r="U82" s="6">
        <v>0</v>
      </c>
      <c r="V82" s="6">
        <v>119.73</v>
      </c>
      <c r="W82" s="6">
        <f t="shared" si="12"/>
        <v>15688.0692</v>
      </c>
      <c r="X82" s="6">
        <f t="shared" si="13"/>
        <v>38570.880000000005</v>
      </c>
      <c r="Y82" s="6">
        <v>0</v>
      </c>
      <c r="Z82" s="6">
        <f t="shared" si="14"/>
        <v>-14285.550800000025</v>
      </c>
      <c r="AA82" s="6" t="str">
        <f t="shared" si="15"/>
        <v xml:space="preserve"> Loss</v>
      </c>
      <c r="AB82" s="5" t="s">
        <v>300</v>
      </c>
      <c r="AC82" s="5" t="s">
        <v>82</v>
      </c>
      <c r="AD82" s="5" t="s">
        <v>88</v>
      </c>
      <c r="AE82" s="8" t="s">
        <v>185</v>
      </c>
      <c r="AF82" s="8" t="s">
        <v>185</v>
      </c>
      <c r="AG82" s="3">
        <v>45516</v>
      </c>
      <c r="AH82" s="3">
        <v>45522</v>
      </c>
    </row>
    <row r="83" spans="1:34" ht="12" customHeight="1">
      <c r="A83" s="3">
        <v>45514</v>
      </c>
      <c r="B83" s="5" t="s">
        <v>301</v>
      </c>
      <c r="C83" s="5" t="s">
        <v>234</v>
      </c>
      <c r="D83" s="5" t="s">
        <v>48</v>
      </c>
      <c r="E83" s="5" t="s">
        <v>63</v>
      </c>
      <c r="F83" s="5" t="str">
        <f t="shared" si="8"/>
        <v>Rice</v>
      </c>
      <c r="G83" s="5" t="s">
        <v>49</v>
      </c>
      <c r="H83" s="5" t="s">
        <v>64</v>
      </c>
      <c r="I83" s="5" t="s">
        <v>58</v>
      </c>
      <c r="J83" s="6">
        <v>30</v>
      </c>
      <c r="K83" s="6">
        <v>795</v>
      </c>
      <c r="L83" s="6">
        <v>538.65</v>
      </c>
      <c r="M83" s="6">
        <f t="shared" si="9"/>
        <v>428226.75</v>
      </c>
      <c r="N83" s="6">
        <v>0</v>
      </c>
      <c r="O83" s="6">
        <v>513</v>
      </c>
      <c r="P83" s="6">
        <f t="shared" si="10"/>
        <v>407835</v>
      </c>
      <c r="Q83" s="6">
        <f t="shared" si="11"/>
        <v>20391.75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f t="shared" si="12"/>
        <v>0</v>
      </c>
      <c r="X83" s="6">
        <f t="shared" si="13"/>
        <v>0</v>
      </c>
      <c r="Y83" s="6">
        <v>0</v>
      </c>
      <c r="Z83" s="6">
        <f t="shared" si="14"/>
        <v>20391.75</v>
      </c>
      <c r="AA83" s="6" t="str">
        <f t="shared" si="15"/>
        <v xml:space="preserve"> Profit</v>
      </c>
      <c r="AB83" s="5" t="s">
        <v>302</v>
      </c>
      <c r="AC83" s="5" t="s">
        <v>82</v>
      </c>
      <c r="AD83" s="5" t="s">
        <v>88</v>
      </c>
      <c r="AE83" s="8" t="s">
        <v>185</v>
      </c>
      <c r="AF83" s="8" t="s">
        <v>185</v>
      </c>
      <c r="AG83" s="3">
        <v>45518</v>
      </c>
      <c r="AH83" s="3">
        <v>45524</v>
      </c>
    </row>
    <row r="84" spans="1:34" ht="12" customHeight="1">
      <c r="A84" s="3">
        <v>45513</v>
      </c>
      <c r="B84" s="5" t="s">
        <v>303</v>
      </c>
      <c r="C84" s="5" t="s">
        <v>234</v>
      </c>
      <c r="D84" s="5" t="s">
        <v>36</v>
      </c>
      <c r="E84" s="5" t="s">
        <v>63</v>
      </c>
      <c r="F84" s="5" t="str">
        <f t="shared" si="8"/>
        <v>Rice</v>
      </c>
      <c r="G84" s="5" t="s">
        <v>49</v>
      </c>
      <c r="H84" s="5" t="s">
        <v>64</v>
      </c>
      <c r="I84" s="5" t="s">
        <v>58</v>
      </c>
      <c r="J84" s="6">
        <v>10</v>
      </c>
      <c r="K84" s="6">
        <v>265</v>
      </c>
      <c r="L84" s="6">
        <v>538.65</v>
      </c>
      <c r="M84" s="6">
        <f t="shared" si="9"/>
        <v>142742.25</v>
      </c>
      <c r="N84" s="6">
        <v>0</v>
      </c>
      <c r="O84" s="6">
        <v>513</v>
      </c>
      <c r="P84" s="6">
        <f t="shared" si="10"/>
        <v>135945</v>
      </c>
      <c r="Q84" s="6">
        <f t="shared" si="11"/>
        <v>6797.25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f t="shared" si="12"/>
        <v>0</v>
      </c>
      <c r="X84" s="6">
        <f t="shared" si="13"/>
        <v>0</v>
      </c>
      <c r="Y84" s="6">
        <v>0</v>
      </c>
      <c r="Z84" s="6">
        <f t="shared" si="14"/>
        <v>6797.25</v>
      </c>
      <c r="AA84" s="6" t="str">
        <f t="shared" si="15"/>
        <v xml:space="preserve"> Profit</v>
      </c>
      <c r="AB84" s="5" t="s">
        <v>304</v>
      </c>
      <c r="AC84" s="5" t="s">
        <v>82</v>
      </c>
      <c r="AD84" s="5" t="s">
        <v>88</v>
      </c>
      <c r="AE84" s="8" t="s">
        <v>185</v>
      </c>
      <c r="AF84" s="8" t="s">
        <v>185</v>
      </c>
      <c r="AG84" s="3">
        <v>45517</v>
      </c>
      <c r="AH84" s="3">
        <v>45523</v>
      </c>
    </row>
    <row r="85" spans="1:34" ht="12" customHeight="1">
      <c r="A85" s="3">
        <v>45518</v>
      </c>
      <c r="B85" s="5" t="s">
        <v>305</v>
      </c>
      <c r="C85" s="5" t="s">
        <v>306</v>
      </c>
      <c r="D85" s="5" t="s">
        <v>48</v>
      </c>
      <c r="E85" s="5" t="s">
        <v>63</v>
      </c>
      <c r="F85" s="5" t="str">
        <f t="shared" si="8"/>
        <v>Rice</v>
      </c>
      <c r="G85" s="5" t="s">
        <v>49</v>
      </c>
      <c r="H85" s="5" t="s">
        <v>64</v>
      </c>
      <c r="I85" s="5" t="s">
        <v>80</v>
      </c>
      <c r="J85" s="6">
        <v>250</v>
      </c>
      <c r="K85" s="6">
        <v>6500</v>
      </c>
      <c r="L85" s="6">
        <v>583.79999999999995</v>
      </c>
      <c r="M85" s="6">
        <f t="shared" si="9"/>
        <v>3794699.9999999995</v>
      </c>
      <c r="N85" s="6">
        <v>155289.17783999999</v>
      </c>
      <c r="O85" s="6">
        <v>556</v>
      </c>
      <c r="P85" s="6">
        <f t="shared" si="10"/>
        <v>3614000</v>
      </c>
      <c r="Q85" s="6">
        <f t="shared" si="11"/>
        <v>180699.99999999953</v>
      </c>
      <c r="R85" s="6">
        <v>380610.73</v>
      </c>
      <c r="S85" s="6">
        <v>0</v>
      </c>
      <c r="T85" s="6">
        <v>0</v>
      </c>
      <c r="U85" s="6">
        <v>0</v>
      </c>
      <c r="V85" s="6">
        <v>4464.2700000000004</v>
      </c>
      <c r="W85" s="6">
        <f t="shared" si="12"/>
        <v>155289.17783999999</v>
      </c>
      <c r="X85" s="6">
        <f t="shared" si="13"/>
        <v>385075</v>
      </c>
      <c r="Y85" s="6">
        <v>0</v>
      </c>
      <c r="Z85" s="6">
        <f t="shared" si="14"/>
        <v>-49085.822160000476</v>
      </c>
      <c r="AA85" s="6" t="str">
        <f t="shared" si="15"/>
        <v xml:space="preserve"> Loss</v>
      </c>
      <c r="AB85" s="5" t="s">
        <v>307</v>
      </c>
      <c r="AC85" s="5" t="s">
        <v>168</v>
      </c>
      <c r="AD85" s="5" t="s">
        <v>43</v>
      </c>
      <c r="AE85" s="7" t="s">
        <v>44</v>
      </c>
      <c r="AF85" s="5" t="s">
        <v>45</v>
      </c>
      <c r="AG85" s="3">
        <v>45522</v>
      </c>
      <c r="AH85" s="3">
        <v>45528</v>
      </c>
    </row>
    <row r="86" spans="1:34" ht="12" customHeight="1">
      <c r="A86" s="3">
        <v>45520</v>
      </c>
      <c r="B86" s="5" t="s">
        <v>308</v>
      </c>
      <c r="C86" s="5" t="s">
        <v>79</v>
      </c>
      <c r="D86" s="5" t="s">
        <v>62</v>
      </c>
      <c r="E86" s="5" t="s">
        <v>63</v>
      </c>
      <c r="F86" s="5" t="str">
        <f t="shared" si="8"/>
        <v>Rice</v>
      </c>
      <c r="G86" s="5" t="s">
        <v>57</v>
      </c>
      <c r="H86" s="5" t="s">
        <v>64</v>
      </c>
      <c r="I86" s="5" t="s">
        <v>80</v>
      </c>
      <c r="J86" s="6">
        <v>134.62</v>
      </c>
      <c r="K86" s="6">
        <v>500</v>
      </c>
      <c r="L86" s="6">
        <v>580.65</v>
      </c>
      <c r="M86" s="6">
        <f t="shared" si="9"/>
        <v>290325</v>
      </c>
      <c r="N86" s="6">
        <v>83609.399999999994</v>
      </c>
      <c r="O86" s="6">
        <v>553</v>
      </c>
      <c r="P86" s="6">
        <f t="shared" si="10"/>
        <v>276500</v>
      </c>
      <c r="Q86" s="6">
        <f t="shared" si="11"/>
        <v>13825</v>
      </c>
      <c r="R86" s="6">
        <v>204925</v>
      </c>
      <c r="S86" s="6">
        <v>0</v>
      </c>
      <c r="T86" s="6">
        <v>0</v>
      </c>
      <c r="U86" s="6">
        <v>0</v>
      </c>
      <c r="V86" s="6">
        <v>0</v>
      </c>
      <c r="W86" s="6">
        <f t="shared" si="12"/>
        <v>83609.399999999994</v>
      </c>
      <c r="X86" s="6">
        <f t="shared" si="13"/>
        <v>204925</v>
      </c>
      <c r="Y86" s="6">
        <v>0</v>
      </c>
      <c r="Z86" s="6">
        <f t="shared" si="14"/>
        <v>-107490.6</v>
      </c>
      <c r="AA86" s="6" t="str">
        <f t="shared" si="15"/>
        <v xml:space="preserve"> Loss</v>
      </c>
      <c r="AB86" s="5" t="s">
        <v>309</v>
      </c>
      <c r="AC86" s="5" t="s">
        <v>189</v>
      </c>
      <c r="AD86" s="5" t="s">
        <v>67</v>
      </c>
      <c r="AE86" s="7" t="s">
        <v>114</v>
      </c>
      <c r="AF86" s="7" t="s">
        <v>115</v>
      </c>
      <c r="AG86" s="3">
        <v>45524</v>
      </c>
      <c r="AH86" s="3">
        <v>45530</v>
      </c>
    </row>
    <row r="87" spans="1:34" ht="12" customHeight="1">
      <c r="A87" s="3">
        <v>45524</v>
      </c>
      <c r="B87" s="5" t="s">
        <v>310</v>
      </c>
      <c r="C87" s="5" t="s">
        <v>311</v>
      </c>
      <c r="D87" s="5" t="s">
        <v>312</v>
      </c>
      <c r="E87" s="5" t="s">
        <v>37</v>
      </c>
      <c r="F87" s="5" t="str">
        <f t="shared" si="8"/>
        <v>Sugar</v>
      </c>
      <c r="G87" s="5" t="s">
        <v>38</v>
      </c>
      <c r="H87" s="5" t="s">
        <v>39</v>
      </c>
      <c r="I87" s="5" t="s">
        <v>58</v>
      </c>
      <c r="J87" s="6">
        <v>1</v>
      </c>
      <c r="K87" s="6">
        <v>27</v>
      </c>
      <c r="L87" s="6">
        <v>8629.1625000000004</v>
      </c>
      <c r="M87" s="6">
        <f t="shared" si="9"/>
        <v>232987.38750000001</v>
      </c>
      <c r="N87" s="6">
        <v>0</v>
      </c>
      <c r="O87" s="6">
        <v>8218.25</v>
      </c>
      <c r="P87" s="6">
        <f t="shared" si="10"/>
        <v>221892.75</v>
      </c>
      <c r="Q87" s="6">
        <f t="shared" si="11"/>
        <v>11094.637500000012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f t="shared" si="12"/>
        <v>0</v>
      </c>
      <c r="X87" s="6">
        <f t="shared" si="13"/>
        <v>0</v>
      </c>
      <c r="Y87" s="6">
        <v>0</v>
      </c>
      <c r="Z87" s="6">
        <f t="shared" si="14"/>
        <v>11094.637500000012</v>
      </c>
      <c r="AA87" s="6" t="str">
        <f t="shared" si="15"/>
        <v xml:space="preserve"> Profit</v>
      </c>
      <c r="AB87" s="5" t="s">
        <v>984</v>
      </c>
      <c r="AC87" s="5" t="s">
        <v>220</v>
      </c>
      <c r="AD87" s="5" t="s">
        <v>43</v>
      </c>
      <c r="AE87" s="7" t="s">
        <v>44</v>
      </c>
      <c r="AF87" s="5" t="s">
        <v>45</v>
      </c>
      <c r="AG87" s="3">
        <v>45528</v>
      </c>
      <c r="AH87" s="3">
        <v>45534</v>
      </c>
    </row>
    <row r="88" spans="1:34" ht="12" customHeight="1">
      <c r="A88" s="3">
        <v>45525</v>
      </c>
      <c r="B88" s="5" t="s">
        <v>313</v>
      </c>
      <c r="C88" s="5" t="s">
        <v>107</v>
      </c>
      <c r="D88" s="5" t="s">
        <v>312</v>
      </c>
      <c r="E88" s="5" t="s">
        <v>63</v>
      </c>
      <c r="F88" s="5" t="str">
        <f t="shared" si="8"/>
        <v>Rice</v>
      </c>
      <c r="G88" s="5" t="s">
        <v>49</v>
      </c>
      <c r="H88" s="5" t="s">
        <v>64</v>
      </c>
      <c r="I88" s="5" t="s">
        <v>80</v>
      </c>
      <c r="J88" s="6">
        <v>4</v>
      </c>
      <c r="K88" s="6">
        <v>104</v>
      </c>
      <c r="L88" s="6">
        <v>598.5</v>
      </c>
      <c r="M88" s="6">
        <f t="shared" si="9"/>
        <v>62244</v>
      </c>
      <c r="N88" s="6">
        <v>3348.5171999999998</v>
      </c>
      <c r="O88" s="6">
        <v>570</v>
      </c>
      <c r="P88" s="6">
        <f t="shared" si="10"/>
        <v>59280</v>
      </c>
      <c r="Q88" s="6">
        <f t="shared" si="11"/>
        <v>2964</v>
      </c>
      <c r="R88" s="6">
        <v>8207.15</v>
      </c>
      <c r="S88" s="6">
        <v>0</v>
      </c>
      <c r="T88" s="6">
        <v>0</v>
      </c>
      <c r="U88" s="6">
        <v>0</v>
      </c>
      <c r="V88" s="6">
        <v>0</v>
      </c>
      <c r="W88" s="6">
        <f t="shared" si="12"/>
        <v>3348.5171999999998</v>
      </c>
      <c r="X88" s="6">
        <f t="shared" si="13"/>
        <v>8207.15</v>
      </c>
      <c r="Y88" s="6">
        <v>0</v>
      </c>
      <c r="Z88" s="6">
        <f t="shared" si="14"/>
        <v>-1894.6327999999999</v>
      </c>
      <c r="AA88" s="6" t="str">
        <f t="shared" si="15"/>
        <v xml:space="preserve"> Loss</v>
      </c>
      <c r="AB88" s="5" t="s">
        <v>314</v>
      </c>
      <c r="AC88" s="5" t="s">
        <v>220</v>
      </c>
      <c r="AD88" s="5" t="s">
        <v>67</v>
      </c>
      <c r="AE88" s="7" t="s">
        <v>114</v>
      </c>
      <c r="AF88" s="7" t="s">
        <v>115</v>
      </c>
      <c r="AG88" s="3">
        <v>45529</v>
      </c>
      <c r="AH88" s="3">
        <v>45535</v>
      </c>
    </row>
    <row r="89" spans="1:34" ht="12" customHeight="1">
      <c r="A89" s="3">
        <v>45532</v>
      </c>
      <c r="B89" s="5" t="s">
        <v>315</v>
      </c>
      <c r="C89" s="5" t="s">
        <v>141</v>
      </c>
      <c r="D89" s="5" t="s">
        <v>316</v>
      </c>
      <c r="E89" s="5" t="s">
        <v>63</v>
      </c>
      <c r="F89" s="5" t="str">
        <f t="shared" si="8"/>
        <v>Rice</v>
      </c>
      <c r="G89" s="5" t="s">
        <v>49</v>
      </c>
      <c r="H89" s="5" t="s">
        <v>64</v>
      </c>
      <c r="I89" s="5" t="s">
        <v>58</v>
      </c>
      <c r="J89" s="6">
        <v>50</v>
      </c>
      <c r="K89" s="6">
        <v>1325</v>
      </c>
      <c r="L89" s="6">
        <v>538.65</v>
      </c>
      <c r="M89" s="6">
        <f t="shared" si="9"/>
        <v>713711.25</v>
      </c>
      <c r="N89" s="6">
        <v>0</v>
      </c>
      <c r="O89" s="6">
        <v>513</v>
      </c>
      <c r="P89" s="6">
        <f t="shared" si="10"/>
        <v>679725</v>
      </c>
      <c r="Q89" s="6">
        <f t="shared" si="11"/>
        <v>33986.25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f t="shared" si="12"/>
        <v>0</v>
      </c>
      <c r="X89" s="6">
        <f t="shared" si="13"/>
        <v>0</v>
      </c>
      <c r="Y89" s="6">
        <v>0</v>
      </c>
      <c r="Z89" s="6">
        <f t="shared" si="14"/>
        <v>33986.25</v>
      </c>
      <c r="AA89" s="6" t="str">
        <f t="shared" si="15"/>
        <v xml:space="preserve"> Profit</v>
      </c>
      <c r="AB89" s="5" t="s">
        <v>317</v>
      </c>
      <c r="AC89" s="5" t="s">
        <v>217</v>
      </c>
      <c r="AD89" s="5" t="s">
        <v>67</v>
      </c>
      <c r="AE89" s="7" t="s">
        <v>44</v>
      </c>
      <c r="AF89" s="5" t="s">
        <v>45</v>
      </c>
      <c r="AG89" s="3">
        <v>45536</v>
      </c>
      <c r="AH89" s="3">
        <v>45542</v>
      </c>
    </row>
    <row r="90" spans="1:34" ht="12" customHeight="1">
      <c r="A90" s="3">
        <v>45532</v>
      </c>
      <c r="B90" s="5" t="s">
        <v>318</v>
      </c>
      <c r="C90" s="5" t="s">
        <v>283</v>
      </c>
      <c r="D90" s="5" t="s">
        <v>62</v>
      </c>
      <c r="E90" s="5" t="s">
        <v>157</v>
      </c>
      <c r="F90" s="5" t="str">
        <f t="shared" si="8"/>
        <v>Sugar</v>
      </c>
      <c r="G90" s="5" t="s">
        <v>38</v>
      </c>
      <c r="H90" s="5" t="s">
        <v>57</v>
      </c>
      <c r="I90" s="5" t="s">
        <v>58</v>
      </c>
      <c r="J90" s="6">
        <v>0</v>
      </c>
      <c r="K90" s="6">
        <v>0.28000000000000003</v>
      </c>
      <c r="L90" s="6">
        <v>981</v>
      </c>
      <c r="M90" s="6">
        <f t="shared" si="9"/>
        <v>274.68</v>
      </c>
      <c r="N90" s="6">
        <v>0</v>
      </c>
      <c r="O90" s="6">
        <v>521</v>
      </c>
      <c r="P90" s="6">
        <f t="shared" si="10"/>
        <v>145.88000000000002</v>
      </c>
      <c r="Q90" s="6">
        <f t="shared" si="11"/>
        <v>128.79999999999998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f t="shared" si="12"/>
        <v>0</v>
      </c>
      <c r="X90" s="6">
        <f t="shared" si="13"/>
        <v>0</v>
      </c>
      <c r="Y90" s="6">
        <v>0</v>
      </c>
      <c r="Z90" s="6">
        <f t="shared" si="14"/>
        <v>128.79999999999998</v>
      </c>
      <c r="AA90" s="6" t="str">
        <f t="shared" si="15"/>
        <v xml:space="preserve"> Profit</v>
      </c>
      <c r="AB90" s="5" t="s">
        <v>985</v>
      </c>
      <c r="AC90" s="5" t="s">
        <v>159</v>
      </c>
      <c r="AD90" s="5" t="s">
        <v>160</v>
      </c>
      <c r="AE90" s="5" t="s">
        <v>238</v>
      </c>
      <c r="AF90" s="5" t="s">
        <v>45</v>
      </c>
      <c r="AG90" s="3">
        <v>45939</v>
      </c>
      <c r="AH90" s="3">
        <v>45945</v>
      </c>
    </row>
    <row r="91" spans="1:34" ht="12" customHeight="1">
      <c r="A91" s="3">
        <v>45536</v>
      </c>
      <c r="B91" s="5" t="s">
        <v>319</v>
      </c>
      <c r="C91" s="5" t="s">
        <v>320</v>
      </c>
      <c r="D91" s="5" t="s">
        <v>36</v>
      </c>
      <c r="E91" s="5" t="s">
        <v>37</v>
      </c>
      <c r="F91" s="5" t="str">
        <f t="shared" si="8"/>
        <v>Sugar</v>
      </c>
      <c r="G91" s="5" t="s">
        <v>49</v>
      </c>
      <c r="H91" s="5" t="s">
        <v>39</v>
      </c>
      <c r="I91" s="5" t="s">
        <v>58</v>
      </c>
      <c r="J91" s="6">
        <v>20</v>
      </c>
      <c r="K91" s="6">
        <v>500</v>
      </c>
      <c r="L91" s="6">
        <v>668.21273989383405</v>
      </c>
      <c r="M91" s="6">
        <f t="shared" si="9"/>
        <v>334106.36994691705</v>
      </c>
      <c r="N91" s="6">
        <v>0</v>
      </c>
      <c r="O91" s="6">
        <v>636.393085613175</v>
      </c>
      <c r="P91" s="6">
        <f t="shared" si="10"/>
        <v>318196.54280658747</v>
      </c>
      <c r="Q91" s="6">
        <f t="shared" si="11"/>
        <v>15909.82714032958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f t="shared" si="12"/>
        <v>0</v>
      </c>
      <c r="X91" s="6">
        <f t="shared" si="13"/>
        <v>0</v>
      </c>
      <c r="Y91" s="6">
        <v>0</v>
      </c>
      <c r="Z91" s="6">
        <f t="shared" si="14"/>
        <v>15909.82714032958</v>
      </c>
      <c r="AA91" s="6" t="str">
        <f t="shared" si="15"/>
        <v xml:space="preserve"> Profit</v>
      </c>
      <c r="AB91" s="5" t="s">
        <v>321</v>
      </c>
      <c r="AC91" s="5" t="s">
        <v>220</v>
      </c>
      <c r="AD91" s="5" t="s">
        <v>43</v>
      </c>
      <c r="AE91" s="7" t="s">
        <v>44</v>
      </c>
      <c r="AF91" s="5" t="s">
        <v>45</v>
      </c>
      <c r="AG91" s="3">
        <v>45540</v>
      </c>
      <c r="AH91" s="3">
        <v>45546</v>
      </c>
    </row>
    <row r="92" spans="1:34" ht="12" customHeight="1">
      <c r="A92" s="3">
        <v>45536</v>
      </c>
      <c r="B92" s="5" t="s">
        <v>322</v>
      </c>
      <c r="C92" s="5" t="s">
        <v>141</v>
      </c>
      <c r="D92" s="5" t="s">
        <v>48</v>
      </c>
      <c r="E92" s="5" t="s">
        <v>63</v>
      </c>
      <c r="F92" s="5" t="str">
        <f t="shared" si="8"/>
        <v>Rice</v>
      </c>
      <c r="G92" s="5" t="s">
        <v>49</v>
      </c>
      <c r="H92" s="5" t="s">
        <v>64</v>
      </c>
      <c r="I92" s="5" t="s">
        <v>58</v>
      </c>
      <c r="J92" s="6">
        <v>20</v>
      </c>
      <c r="K92" s="6">
        <v>530</v>
      </c>
      <c r="L92" s="6">
        <v>554.4</v>
      </c>
      <c r="M92" s="6">
        <f t="shared" si="9"/>
        <v>293832</v>
      </c>
      <c r="N92" s="6">
        <v>0</v>
      </c>
      <c r="O92" s="6">
        <v>528</v>
      </c>
      <c r="P92" s="6">
        <f t="shared" si="10"/>
        <v>279840</v>
      </c>
      <c r="Q92" s="6">
        <f t="shared" si="11"/>
        <v>13992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f t="shared" si="12"/>
        <v>0</v>
      </c>
      <c r="X92" s="6">
        <f t="shared" si="13"/>
        <v>0</v>
      </c>
      <c r="Y92" s="6">
        <v>0</v>
      </c>
      <c r="Z92" s="6">
        <f t="shared" si="14"/>
        <v>13992</v>
      </c>
      <c r="AA92" s="6" t="str">
        <f t="shared" si="15"/>
        <v xml:space="preserve"> Profit</v>
      </c>
      <c r="AB92" s="5" t="s">
        <v>323</v>
      </c>
      <c r="AC92" s="5" t="s">
        <v>168</v>
      </c>
      <c r="AD92" s="5" t="s">
        <v>43</v>
      </c>
      <c r="AE92" s="7" t="s">
        <v>44</v>
      </c>
      <c r="AF92" s="5" t="s">
        <v>45</v>
      </c>
      <c r="AG92" s="3">
        <v>45540</v>
      </c>
      <c r="AH92" s="3">
        <v>45546</v>
      </c>
    </row>
    <row r="93" spans="1:34" ht="12" customHeight="1">
      <c r="A93" s="3">
        <v>45566</v>
      </c>
      <c r="B93" s="5" t="s">
        <v>324</v>
      </c>
      <c r="C93" s="5" t="s">
        <v>325</v>
      </c>
      <c r="D93" s="5" t="s">
        <v>36</v>
      </c>
      <c r="E93" s="5" t="s">
        <v>37</v>
      </c>
      <c r="F93" s="5" t="str">
        <f t="shared" si="8"/>
        <v>Sugar</v>
      </c>
      <c r="G93" s="5" t="s">
        <v>256</v>
      </c>
      <c r="H93" s="5" t="s">
        <v>39</v>
      </c>
      <c r="I93" s="5" t="s">
        <v>58</v>
      </c>
      <c r="J93" s="6">
        <v>10</v>
      </c>
      <c r="K93" s="6">
        <v>260</v>
      </c>
      <c r="L93" s="6">
        <v>697.58849999999995</v>
      </c>
      <c r="M93" s="6">
        <f t="shared" si="9"/>
        <v>181373.00999999998</v>
      </c>
      <c r="N93" s="6">
        <v>0</v>
      </c>
      <c r="O93" s="6">
        <v>664.37</v>
      </c>
      <c r="P93" s="6">
        <f t="shared" si="10"/>
        <v>172736.2</v>
      </c>
      <c r="Q93" s="6">
        <f t="shared" si="11"/>
        <v>8636.8099999999686</v>
      </c>
      <c r="R93" s="6">
        <v>0</v>
      </c>
      <c r="S93" s="6">
        <v>0</v>
      </c>
      <c r="T93" s="6">
        <v>0</v>
      </c>
      <c r="U93" s="6">
        <v>0</v>
      </c>
      <c r="V93" s="6">
        <v>-3.76</v>
      </c>
      <c r="W93" s="6">
        <f t="shared" si="12"/>
        <v>0</v>
      </c>
      <c r="X93" s="6">
        <f t="shared" si="13"/>
        <v>-3.76</v>
      </c>
      <c r="Y93" s="6">
        <v>0</v>
      </c>
      <c r="Z93" s="6">
        <f t="shared" si="14"/>
        <v>8640.5699999999688</v>
      </c>
      <c r="AA93" s="6" t="str">
        <f t="shared" si="15"/>
        <v xml:space="preserve"> Profit</v>
      </c>
      <c r="AB93" s="5" t="s">
        <v>326</v>
      </c>
      <c r="AC93" s="5" t="s">
        <v>184</v>
      </c>
      <c r="AD93" s="5" t="s">
        <v>67</v>
      </c>
      <c r="AE93" s="7" t="s">
        <v>44</v>
      </c>
      <c r="AF93" s="5" t="s">
        <v>45</v>
      </c>
      <c r="AG93" s="3">
        <v>45570</v>
      </c>
      <c r="AH93" s="3">
        <v>45576</v>
      </c>
    </row>
    <row r="94" spans="1:34" ht="12" customHeight="1">
      <c r="A94" s="3">
        <v>45567</v>
      </c>
      <c r="B94" s="5" t="s">
        <v>327</v>
      </c>
      <c r="C94" s="5" t="s">
        <v>328</v>
      </c>
      <c r="D94" s="5" t="s">
        <v>112</v>
      </c>
      <c r="E94" s="5" t="s">
        <v>37</v>
      </c>
      <c r="F94" s="5" t="str">
        <f t="shared" si="8"/>
        <v>Sugar</v>
      </c>
      <c r="G94" s="5" t="s">
        <v>49</v>
      </c>
      <c r="H94" s="5" t="s">
        <v>39</v>
      </c>
      <c r="I94" s="5" t="s">
        <v>80</v>
      </c>
      <c r="J94" s="6">
        <v>20</v>
      </c>
      <c r="K94" s="6">
        <v>250</v>
      </c>
      <c r="L94" s="6">
        <v>648.52200000000005</v>
      </c>
      <c r="M94" s="6">
        <f t="shared" si="9"/>
        <v>162130.5</v>
      </c>
      <c r="N94" s="6">
        <v>4997.9584444444499</v>
      </c>
      <c r="O94" s="6">
        <v>617.64</v>
      </c>
      <c r="P94" s="6">
        <f t="shared" si="10"/>
        <v>154410</v>
      </c>
      <c r="Q94" s="6">
        <f t="shared" si="11"/>
        <v>7720.5</v>
      </c>
      <c r="R94" s="6">
        <v>12249.898148148201</v>
      </c>
      <c r="S94" s="6">
        <v>0</v>
      </c>
      <c r="T94" s="6">
        <v>0</v>
      </c>
      <c r="U94" s="6">
        <v>0</v>
      </c>
      <c r="V94" s="6">
        <v>66.260000000000005</v>
      </c>
      <c r="W94" s="6">
        <f t="shared" si="12"/>
        <v>4997.9584444444499</v>
      </c>
      <c r="X94" s="6">
        <f t="shared" si="13"/>
        <v>12316.158148148201</v>
      </c>
      <c r="Y94" s="6">
        <v>0</v>
      </c>
      <c r="Z94" s="6">
        <f t="shared" si="14"/>
        <v>402.30029629624914</v>
      </c>
      <c r="AA94" s="6" t="str">
        <f t="shared" si="15"/>
        <v xml:space="preserve"> Profit</v>
      </c>
      <c r="AB94" s="5" t="s">
        <v>329</v>
      </c>
      <c r="AC94" s="5" t="s">
        <v>184</v>
      </c>
      <c r="AD94" s="5" t="s">
        <v>67</v>
      </c>
      <c r="AE94" s="7" t="s">
        <v>44</v>
      </c>
      <c r="AF94" s="5" t="s">
        <v>45</v>
      </c>
      <c r="AG94" s="3">
        <v>45571</v>
      </c>
      <c r="AH94" s="3">
        <v>45577</v>
      </c>
    </row>
    <row r="95" spans="1:34" ht="12" customHeight="1">
      <c r="A95" s="3">
        <v>45571</v>
      </c>
      <c r="B95" s="5" t="s">
        <v>330</v>
      </c>
      <c r="C95" s="5" t="s">
        <v>331</v>
      </c>
      <c r="D95" s="5" t="s">
        <v>112</v>
      </c>
      <c r="E95" s="5" t="s">
        <v>37</v>
      </c>
      <c r="F95" s="5" t="str">
        <f t="shared" si="8"/>
        <v>Sugar</v>
      </c>
      <c r="G95" s="5" t="s">
        <v>49</v>
      </c>
      <c r="H95" s="5" t="s">
        <v>272</v>
      </c>
      <c r="I95" s="5" t="s">
        <v>40</v>
      </c>
      <c r="J95" s="6">
        <v>20</v>
      </c>
      <c r="K95" s="6">
        <v>520</v>
      </c>
      <c r="L95" s="6">
        <f>558-25</f>
        <v>533</v>
      </c>
      <c r="M95" s="6">
        <f t="shared" si="9"/>
        <v>277160</v>
      </c>
      <c r="N95" s="6">
        <v>4161.6000000000004</v>
      </c>
      <c r="O95" s="6">
        <v>558</v>
      </c>
      <c r="P95" s="6">
        <f t="shared" si="10"/>
        <v>290160</v>
      </c>
      <c r="Q95" s="6">
        <f t="shared" si="11"/>
        <v>-13000</v>
      </c>
      <c r="R95" s="6">
        <v>10200</v>
      </c>
      <c r="S95" s="6">
        <v>816</v>
      </c>
      <c r="T95" s="6">
        <v>0</v>
      </c>
      <c r="U95" s="6">
        <v>244.8</v>
      </c>
      <c r="V95" s="6">
        <v>1918.38</v>
      </c>
      <c r="W95" s="6">
        <f t="shared" si="12"/>
        <v>4161.6000000000004</v>
      </c>
      <c r="X95" s="6">
        <f t="shared" si="13"/>
        <v>13179.18</v>
      </c>
      <c r="Y95" s="6">
        <v>0</v>
      </c>
      <c r="Z95" s="6">
        <f t="shared" si="14"/>
        <v>-22017.58</v>
      </c>
      <c r="AA95" s="6" t="str">
        <f t="shared" si="15"/>
        <v xml:space="preserve"> Loss</v>
      </c>
      <c r="AB95" s="5" t="s">
        <v>332</v>
      </c>
      <c r="AC95" s="5" t="s">
        <v>42</v>
      </c>
      <c r="AD95" s="5" t="s">
        <v>43</v>
      </c>
      <c r="AE95" s="7" t="s">
        <v>44</v>
      </c>
      <c r="AF95" s="5" t="s">
        <v>45</v>
      </c>
      <c r="AG95" s="3">
        <v>45575</v>
      </c>
      <c r="AH95" s="3">
        <v>45581</v>
      </c>
    </row>
    <row r="96" spans="1:34" ht="12" customHeight="1">
      <c r="A96" s="3">
        <v>45571</v>
      </c>
      <c r="B96" s="5" t="s">
        <v>333</v>
      </c>
      <c r="C96" s="5" t="s">
        <v>334</v>
      </c>
      <c r="D96" s="5" t="s">
        <v>36</v>
      </c>
      <c r="E96" s="5" t="s">
        <v>37</v>
      </c>
      <c r="F96" s="5" t="str">
        <f t="shared" si="8"/>
        <v>Sugar</v>
      </c>
      <c r="G96" s="5" t="s">
        <v>49</v>
      </c>
      <c r="H96" s="5" t="s">
        <v>39</v>
      </c>
      <c r="I96" s="5" t="s">
        <v>40</v>
      </c>
      <c r="J96" s="6">
        <v>30</v>
      </c>
      <c r="K96" s="6">
        <v>780</v>
      </c>
      <c r="L96" s="6">
        <v>585.9</v>
      </c>
      <c r="M96" s="6">
        <f t="shared" si="9"/>
        <v>457002</v>
      </c>
      <c r="N96" s="6">
        <v>12548.9154456</v>
      </c>
      <c r="O96" s="6">
        <v>558</v>
      </c>
      <c r="P96" s="6">
        <f t="shared" si="10"/>
        <v>435240</v>
      </c>
      <c r="Q96" s="6">
        <f t="shared" si="11"/>
        <v>21762</v>
      </c>
      <c r="R96" s="6">
        <v>30757.145700000001</v>
      </c>
      <c r="S96" s="6">
        <v>2460.5716560000001</v>
      </c>
      <c r="T96" s="6">
        <v>0</v>
      </c>
      <c r="U96" s="6">
        <v>738.1714968</v>
      </c>
      <c r="V96" s="6">
        <v>17.649999999999999</v>
      </c>
      <c r="W96" s="6">
        <f t="shared" si="12"/>
        <v>12548.9154456</v>
      </c>
      <c r="X96" s="6">
        <f t="shared" si="13"/>
        <v>33973.538852800004</v>
      </c>
      <c r="Y96" s="6">
        <v>0</v>
      </c>
      <c r="Z96" s="6">
        <f t="shared" si="14"/>
        <v>337.37659279999571</v>
      </c>
      <c r="AA96" s="6" t="str">
        <f t="shared" si="15"/>
        <v xml:space="preserve"> Profit</v>
      </c>
      <c r="AB96" s="5" t="s">
        <v>335</v>
      </c>
      <c r="AC96" s="5" t="s">
        <v>42</v>
      </c>
      <c r="AD96" s="5" t="s">
        <v>43</v>
      </c>
      <c r="AE96" s="7" t="s">
        <v>44</v>
      </c>
      <c r="AF96" s="5" t="s">
        <v>45</v>
      </c>
      <c r="AG96" s="3">
        <v>45575</v>
      </c>
      <c r="AH96" s="3">
        <v>45581</v>
      </c>
    </row>
    <row r="97" spans="1:34" ht="12" customHeight="1">
      <c r="A97" s="3">
        <v>45575</v>
      </c>
      <c r="B97" s="5" t="s">
        <v>336</v>
      </c>
      <c r="C97" s="5" t="s">
        <v>331</v>
      </c>
      <c r="D97" s="5" t="s">
        <v>112</v>
      </c>
      <c r="E97" s="5" t="s">
        <v>37</v>
      </c>
      <c r="F97" s="5" t="str">
        <f t="shared" si="8"/>
        <v>Sugar</v>
      </c>
      <c r="G97" s="5" t="s">
        <v>49</v>
      </c>
      <c r="H97" s="5" t="s">
        <v>272</v>
      </c>
      <c r="I97" s="5" t="s">
        <v>40</v>
      </c>
      <c r="J97" s="6">
        <v>20</v>
      </c>
      <c r="K97" s="6">
        <v>520</v>
      </c>
      <c r="L97" s="6">
        <f>558-28</f>
        <v>530</v>
      </c>
      <c r="M97" s="6">
        <f t="shared" si="9"/>
        <v>275600</v>
      </c>
      <c r="N97" s="6">
        <v>4096.2691202286696</v>
      </c>
      <c r="O97" s="6">
        <v>558</v>
      </c>
      <c r="P97" s="6">
        <f t="shared" si="10"/>
        <v>290160</v>
      </c>
      <c r="Q97" s="6">
        <f t="shared" si="11"/>
        <v>-14560</v>
      </c>
      <c r="R97" s="6">
        <v>10039.875294678101</v>
      </c>
      <c r="S97" s="6">
        <v>803.19002357424802</v>
      </c>
      <c r="T97" s="6">
        <v>0</v>
      </c>
      <c r="U97" s="6">
        <v>240.957007072274</v>
      </c>
      <c r="V97" s="6">
        <v>10.5</v>
      </c>
      <c r="W97" s="6">
        <f t="shared" si="12"/>
        <v>4096.2691202286696</v>
      </c>
      <c r="X97" s="6">
        <f t="shared" si="13"/>
        <v>11094.522325324624</v>
      </c>
      <c r="Y97" s="6">
        <v>0</v>
      </c>
      <c r="Z97" s="6">
        <f t="shared" si="14"/>
        <v>-21558.253205095953</v>
      </c>
      <c r="AA97" s="6" t="str">
        <f t="shared" si="15"/>
        <v xml:space="preserve"> Loss</v>
      </c>
      <c r="AB97" s="5" t="s">
        <v>337</v>
      </c>
      <c r="AC97" s="5" t="s">
        <v>42</v>
      </c>
      <c r="AD97" s="5" t="s">
        <v>43</v>
      </c>
      <c r="AE97" s="7" t="s">
        <v>44</v>
      </c>
      <c r="AF97" s="5" t="s">
        <v>45</v>
      </c>
      <c r="AG97" s="3">
        <v>45579</v>
      </c>
      <c r="AH97" s="3">
        <v>45585</v>
      </c>
    </row>
    <row r="98" spans="1:34" ht="12" customHeight="1">
      <c r="A98" s="3">
        <v>45576</v>
      </c>
      <c r="B98" s="5" t="s">
        <v>338</v>
      </c>
      <c r="C98" s="5" t="s">
        <v>339</v>
      </c>
      <c r="D98" s="5" t="s">
        <v>340</v>
      </c>
      <c r="E98" s="5" t="s">
        <v>341</v>
      </c>
      <c r="F98" s="5" t="str">
        <f t="shared" si="8"/>
        <v>Lentils</v>
      </c>
      <c r="G98" s="5" t="s">
        <v>38</v>
      </c>
      <c r="H98" s="5" t="s">
        <v>342</v>
      </c>
      <c r="I98" s="5" t="s">
        <v>58</v>
      </c>
      <c r="J98" s="6">
        <v>30</v>
      </c>
      <c r="K98" s="6">
        <v>780</v>
      </c>
      <c r="L98" s="6">
        <v>698.33399999999995</v>
      </c>
      <c r="M98" s="6">
        <f t="shared" si="9"/>
        <v>544700.5199999999</v>
      </c>
      <c r="N98" s="6">
        <v>0</v>
      </c>
      <c r="O98" s="6">
        <v>665.08</v>
      </c>
      <c r="P98" s="6">
        <f t="shared" si="10"/>
        <v>518762.4</v>
      </c>
      <c r="Q98" s="6">
        <f t="shared" si="11"/>
        <v>25938.119999999879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f t="shared" si="12"/>
        <v>0</v>
      </c>
      <c r="X98" s="6">
        <f t="shared" si="13"/>
        <v>0</v>
      </c>
      <c r="Y98" s="6">
        <v>0</v>
      </c>
      <c r="Z98" s="6">
        <f t="shared" si="14"/>
        <v>25938.119999999879</v>
      </c>
      <c r="AA98" s="6" t="str">
        <f t="shared" si="15"/>
        <v xml:space="preserve"> Profit</v>
      </c>
      <c r="AB98" s="5" t="s">
        <v>343</v>
      </c>
      <c r="AC98" s="5" t="s">
        <v>344</v>
      </c>
      <c r="AD98" s="5" t="s">
        <v>345</v>
      </c>
      <c r="AE98" s="7" t="s">
        <v>44</v>
      </c>
      <c r="AF98" s="5" t="s">
        <v>45</v>
      </c>
      <c r="AG98" s="3">
        <v>45580</v>
      </c>
      <c r="AH98" s="3">
        <v>45586</v>
      </c>
    </row>
    <row r="99" spans="1:34" ht="12" customHeight="1">
      <c r="A99" s="3">
        <v>45580</v>
      </c>
      <c r="B99" s="5" t="s">
        <v>346</v>
      </c>
      <c r="C99" s="5" t="s">
        <v>347</v>
      </c>
      <c r="D99" s="5" t="s">
        <v>112</v>
      </c>
      <c r="E99" s="5" t="s">
        <v>37</v>
      </c>
      <c r="F99" s="5" t="str">
        <f t="shared" si="8"/>
        <v>Sugar</v>
      </c>
      <c r="G99" s="5" t="s">
        <v>49</v>
      </c>
      <c r="H99" s="5" t="s">
        <v>39</v>
      </c>
      <c r="I99" s="5" t="s">
        <v>40</v>
      </c>
      <c r="J99" s="6">
        <v>20</v>
      </c>
      <c r="K99" s="6">
        <v>520</v>
      </c>
      <c r="L99" s="6">
        <v>585.9</v>
      </c>
      <c r="M99" s="6">
        <f t="shared" si="9"/>
        <v>304668</v>
      </c>
      <c r="N99" s="6">
        <v>7972.6586399999997</v>
      </c>
      <c r="O99" s="6">
        <v>558</v>
      </c>
      <c r="P99" s="6">
        <f t="shared" si="10"/>
        <v>290160</v>
      </c>
      <c r="Q99" s="6">
        <f t="shared" si="11"/>
        <v>14508</v>
      </c>
      <c r="R99" s="6">
        <v>19540.830000000002</v>
      </c>
      <c r="S99" s="6">
        <v>1563.2664</v>
      </c>
      <c r="T99" s="6">
        <v>0</v>
      </c>
      <c r="U99" s="6">
        <v>468.97991999999999</v>
      </c>
      <c r="V99" s="6">
        <v>47.65</v>
      </c>
      <c r="W99" s="6">
        <f t="shared" si="12"/>
        <v>7972.6586399999997</v>
      </c>
      <c r="X99" s="6">
        <f t="shared" si="13"/>
        <v>21620.726320000005</v>
      </c>
      <c r="Y99" s="6">
        <v>0</v>
      </c>
      <c r="Z99" s="6">
        <f t="shared" si="14"/>
        <v>859.93231999999443</v>
      </c>
      <c r="AA99" s="6" t="str">
        <f t="shared" si="15"/>
        <v xml:space="preserve"> Profit</v>
      </c>
      <c r="AB99" s="5" t="s">
        <v>348</v>
      </c>
      <c r="AC99" s="5" t="s">
        <v>82</v>
      </c>
      <c r="AD99" s="5" t="s">
        <v>88</v>
      </c>
      <c r="AE99" s="8" t="s">
        <v>185</v>
      </c>
      <c r="AF99" s="8" t="s">
        <v>185</v>
      </c>
      <c r="AG99" s="3">
        <v>45584</v>
      </c>
      <c r="AH99" s="3">
        <v>45590</v>
      </c>
    </row>
    <row r="100" spans="1:34" ht="12" customHeight="1">
      <c r="A100" s="3">
        <v>45582</v>
      </c>
      <c r="B100" s="5" t="s">
        <v>349</v>
      </c>
      <c r="C100" s="5" t="s">
        <v>350</v>
      </c>
      <c r="D100" s="5" t="s">
        <v>36</v>
      </c>
      <c r="E100" s="5" t="s">
        <v>37</v>
      </c>
      <c r="F100" s="5" t="str">
        <f t="shared" si="8"/>
        <v>Sugar</v>
      </c>
      <c r="G100" s="5" t="s">
        <v>49</v>
      </c>
      <c r="H100" s="5" t="s">
        <v>39</v>
      </c>
      <c r="I100" s="5" t="s">
        <v>40</v>
      </c>
      <c r="J100" s="6">
        <v>30</v>
      </c>
      <c r="K100" s="6">
        <v>780</v>
      </c>
      <c r="L100" s="6">
        <v>561.75</v>
      </c>
      <c r="M100" s="6">
        <f t="shared" si="9"/>
        <v>438165</v>
      </c>
      <c r="N100" s="6">
        <v>16883.853690943299</v>
      </c>
      <c r="O100" s="6">
        <v>535</v>
      </c>
      <c r="P100" s="6">
        <f t="shared" si="10"/>
        <v>417300</v>
      </c>
      <c r="Q100" s="6">
        <f t="shared" si="11"/>
        <v>20865</v>
      </c>
      <c r="R100" s="6">
        <v>41381.9943405472</v>
      </c>
      <c r="S100" s="6">
        <v>3310.5595472437699</v>
      </c>
      <c r="T100" s="6">
        <v>0</v>
      </c>
      <c r="U100" s="6">
        <v>993.16786417313199</v>
      </c>
      <c r="V100" s="6">
        <v>7.15</v>
      </c>
      <c r="W100" s="6">
        <f t="shared" si="12"/>
        <v>16883.853690943299</v>
      </c>
      <c r="X100" s="6">
        <f t="shared" si="13"/>
        <v>45692.871751964107</v>
      </c>
      <c r="Y100" s="6">
        <v>0</v>
      </c>
      <c r="Z100" s="6">
        <f t="shared" si="14"/>
        <v>-7944.0180610208081</v>
      </c>
      <c r="AA100" s="6" t="str">
        <f t="shared" si="15"/>
        <v xml:space="preserve"> Loss</v>
      </c>
      <c r="AB100" s="5" t="s">
        <v>351</v>
      </c>
      <c r="AC100" s="5" t="s">
        <v>82</v>
      </c>
      <c r="AD100" s="5" t="s">
        <v>88</v>
      </c>
      <c r="AE100" s="8" t="s">
        <v>185</v>
      </c>
      <c r="AF100" s="8" t="s">
        <v>185</v>
      </c>
      <c r="AG100" s="3">
        <v>45586</v>
      </c>
      <c r="AH100" s="3">
        <v>45592</v>
      </c>
    </row>
    <row r="101" spans="1:34" ht="12" customHeight="1">
      <c r="A101" s="3">
        <v>45582</v>
      </c>
      <c r="B101" s="5" t="s">
        <v>352</v>
      </c>
      <c r="C101" s="5" t="s">
        <v>353</v>
      </c>
      <c r="D101" s="5" t="s">
        <v>112</v>
      </c>
      <c r="E101" s="5" t="s">
        <v>37</v>
      </c>
      <c r="F101" s="5" t="str">
        <f t="shared" si="8"/>
        <v>Sugar</v>
      </c>
      <c r="G101" s="5" t="s">
        <v>38</v>
      </c>
      <c r="H101" s="5" t="s">
        <v>39</v>
      </c>
      <c r="I101" s="5" t="s">
        <v>58</v>
      </c>
      <c r="J101" s="6">
        <v>30</v>
      </c>
      <c r="K101" s="6">
        <v>780</v>
      </c>
      <c r="L101" s="6">
        <v>698.33399999999995</v>
      </c>
      <c r="M101" s="6">
        <f t="shared" si="9"/>
        <v>544700.5199999999</v>
      </c>
      <c r="N101" s="6">
        <v>0</v>
      </c>
      <c r="O101" s="6">
        <v>665.08</v>
      </c>
      <c r="P101" s="6">
        <f t="shared" si="10"/>
        <v>518762.4</v>
      </c>
      <c r="Q101" s="6">
        <f t="shared" si="11"/>
        <v>25938.119999999879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f t="shared" si="12"/>
        <v>0</v>
      </c>
      <c r="X101" s="6">
        <f t="shared" si="13"/>
        <v>0</v>
      </c>
      <c r="Y101" s="6">
        <v>0</v>
      </c>
      <c r="Z101" s="6">
        <f t="shared" si="14"/>
        <v>25938.119999999879</v>
      </c>
      <c r="AA101" s="6" t="str">
        <f t="shared" si="15"/>
        <v xml:space="preserve"> Profit</v>
      </c>
      <c r="AB101" s="5" t="s">
        <v>986</v>
      </c>
      <c r="AC101" s="5" t="s">
        <v>82</v>
      </c>
      <c r="AD101" s="5" t="s">
        <v>88</v>
      </c>
      <c r="AE101" s="8" t="s">
        <v>185</v>
      </c>
      <c r="AF101" s="8" t="s">
        <v>185</v>
      </c>
      <c r="AG101" s="3">
        <v>45586</v>
      </c>
      <c r="AH101" s="3">
        <v>45592</v>
      </c>
    </row>
    <row r="102" spans="1:34" ht="12" customHeight="1">
      <c r="A102" s="3">
        <v>45584</v>
      </c>
      <c r="B102" s="5" t="s">
        <v>355</v>
      </c>
      <c r="C102" s="5" t="s">
        <v>356</v>
      </c>
      <c r="D102" s="5" t="s">
        <v>36</v>
      </c>
      <c r="E102" s="5" t="s">
        <v>37</v>
      </c>
      <c r="F102" s="5" t="str">
        <f t="shared" si="8"/>
        <v>Sugar</v>
      </c>
      <c r="G102" s="5" t="s">
        <v>86</v>
      </c>
      <c r="H102" s="5" t="s">
        <v>39</v>
      </c>
      <c r="I102" s="5" t="s">
        <v>40</v>
      </c>
      <c r="J102" s="6">
        <v>20</v>
      </c>
      <c r="K102" s="6">
        <v>250</v>
      </c>
      <c r="L102" s="6">
        <v>622.65</v>
      </c>
      <c r="M102" s="6">
        <f t="shared" si="9"/>
        <v>155662.5</v>
      </c>
      <c r="N102" s="6">
        <v>10795.5900367497</v>
      </c>
      <c r="O102" s="6">
        <v>593</v>
      </c>
      <c r="P102" s="6">
        <f t="shared" si="10"/>
        <v>148250</v>
      </c>
      <c r="Q102" s="6">
        <f t="shared" si="11"/>
        <v>7412.5</v>
      </c>
      <c r="R102" s="6">
        <v>26459.7795018375</v>
      </c>
      <c r="S102" s="6">
        <v>2116.782360147</v>
      </c>
      <c r="T102" s="6">
        <v>0</v>
      </c>
      <c r="U102" s="6">
        <v>635.03470804409994</v>
      </c>
      <c r="V102" s="6">
        <v>7.15</v>
      </c>
      <c r="W102" s="6">
        <f t="shared" si="12"/>
        <v>10795.5900367497</v>
      </c>
      <c r="X102" s="6">
        <f t="shared" si="13"/>
        <v>29218.746570028601</v>
      </c>
      <c r="Y102" s="6">
        <v>0</v>
      </c>
      <c r="Z102" s="6">
        <f t="shared" si="14"/>
        <v>-11010.656533278901</v>
      </c>
      <c r="AA102" s="6" t="str">
        <f t="shared" si="15"/>
        <v xml:space="preserve"> Loss</v>
      </c>
      <c r="AB102" s="5" t="s">
        <v>357</v>
      </c>
      <c r="AC102" s="5" t="s">
        <v>82</v>
      </c>
      <c r="AD102" s="5" t="s">
        <v>88</v>
      </c>
      <c r="AE102" s="8" t="s">
        <v>185</v>
      </c>
      <c r="AF102" s="8" t="s">
        <v>185</v>
      </c>
      <c r="AG102" s="3">
        <v>45588</v>
      </c>
      <c r="AH102" s="3">
        <v>45594</v>
      </c>
    </row>
    <row r="103" spans="1:34" ht="12" customHeight="1">
      <c r="A103" s="3">
        <v>45587</v>
      </c>
      <c r="B103" s="5" t="s">
        <v>358</v>
      </c>
      <c r="C103" s="5" t="s">
        <v>359</v>
      </c>
      <c r="D103" s="5" t="s">
        <v>112</v>
      </c>
      <c r="E103" s="5" t="s">
        <v>37</v>
      </c>
      <c r="F103" s="5" t="str">
        <f t="shared" si="8"/>
        <v>Sugar</v>
      </c>
      <c r="G103" s="5" t="s">
        <v>49</v>
      </c>
      <c r="H103" s="5" t="s">
        <v>39</v>
      </c>
      <c r="I103" s="5" t="s">
        <v>80</v>
      </c>
      <c r="J103" s="6">
        <v>30</v>
      </c>
      <c r="K103" s="6">
        <v>780</v>
      </c>
      <c r="L103" s="6">
        <v>561.75</v>
      </c>
      <c r="M103" s="6">
        <f t="shared" si="9"/>
        <v>438165</v>
      </c>
      <c r="N103" s="6">
        <v>11939.8344</v>
      </c>
      <c r="O103" s="6">
        <v>535</v>
      </c>
      <c r="P103" s="6">
        <f t="shared" si="10"/>
        <v>417300</v>
      </c>
      <c r="Q103" s="6">
        <f t="shared" si="11"/>
        <v>20865</v>
      </c>
      <c r="R103" s="6">
        <v>29264.3</v>
      </c>
      <c r="S103" s="6">
        <v>0</v>
      </c>
      <c r="T103" s="6">
        <v>0</v>
      </c>
      <c r="U103" s="6">
        <v>0</v>
      </c>
      <c r="V103" s="6">
        <v>39.39</v>
      </c>
      <c r="W103" s="6">
        <f t="shared" si="12"/>
        <v>11939.8344</v>
      </c>
      <c r="X103" s="6">
        <f t="shared" si="13"/>
        <v>29303.69</v>
      </c>
      <c r="Y103" s="6">
        <v>0</v>
      </c>
      <c r="Z103" s="6">
        <f t="shared" si="14"/>
        <v>3501.144400000001</v>
      </c>
      <c r="AA103" s="6" t="str">
        <f t="shared" si="15"/>
        <v xml:space="preserve"> Profit</v>
      </c>
      <c r="AB103" s="5" t="s">
        <v>360</v>
      </c>
      <c r="AC103" s="5" t="s">
        <v>82</v>
      </c>
      <c r="AD103" s="5" t="s">
        <v>43</v>
      </c>
      <c r="AE103" s="7" t="s">
        <v>114</v>
      </c>
      <c r="AF103" s="7" t="s">
        <v>115</v>
      </c>
      <c r="AG103" s="3">
        <v>45591</v>
      </c>
      <c r="AH103" s="3">
        <v>45597</v>
      </c>
    </row>
    <row r="104" spans="1:34" ht="12" customHeight="1">
      <c r="A104" s="3">
        <v>45588</v>
      </c>
      <c r="B104" s="5" t="s">
        <v>361</v>
      </c>
      <c r="C104" s="5" t="s">
        <v>356</v>
      </c>
      <c r="D104" s="5" t="s">
        <v>36</v>
      </c>
      <c r="E104" s="5" t="s">
        <v>37</v>
      </c>
      <c r="F104" s="5" t="str">
        <f t="shared" si="8"/>
        <v>Sugar</v>
      </c>
      <c r="G104" s="5" t="s">
        <v>49</v>
      </c>
      <c r="H104" s="5" t="s">
        <v>39</v>
      </c>
      <c r="I104" s="5" t="s">
        <v>80</v>
      </c>
      <c r="J104" s="6">
        <v>30</v>
      </c>
      <c r="K104" s="6">
        <v>780</v>
      </c>
      <c r="L104" s="6">
        <v>585.9</v>
      </c>
      <c r="M104" s="6">
        <f t="shared" si="9"/>
        <v>457002</v>
      </c>
      <c r="N104" s="6">
        <v>11936.341920000001</v>
      </c>
      <c r="O104" s="6">
        <v>558</v>
      </c>
      <c r="P104" s="6">
        <f t="shared" si="10"/>
        <v>435240</v>
      </c>
      <c r="Q104" s="6">
        <f t="shared" si="11"/>
        <v>21762</v>
      </c>
      <c r="R104" s="6">
        <v>29255.74</v>
      </c>
      <c r="S104" s="6">
        <v>0</v>
      </c>
      <c r="T104" s="6">
        <v>0</v>
      </c>
      <c r="U104" s="6">
        <v>0</v>
      </c>
      <c r="V104" s="6">
        <v>267.89999999999998</v>
      </c>
      <c r="W104" s="6">
        <f t="shared" si="12"/>
        <v>11936.341920000001</v>
      </c>
      <c r="X104" s="6">
        <f t="shared" si="13"/>
        <v>29523.640000000003</v>
      </c>
      <c r="Y104" s="6">
        <v>0</v>
      </c>
      <c r="Z104" s="6">
        <f t="shared" si="14"/>
        <v>4174.7019199999977</v>
      </c>
      <c r="AA104" s="6" t="str">
        <f t="shared" si="15"/>
        <v xml:space="preserve"> Profit</v>
      </c>
      <c r="AB104" s="5" t="s">
        <v>362</v>
      </c>
      <c r="AC104" s="5" t="s">
        <v>82</v>
      </c>
      <c r="AD104" s="5" t="s">
        <v>43</v>
      </c>
      <c r="AE104" s="7" t="s">
        <v>114</v>
      </c>
      <c r="AF104" s="7" t="s">
        <v>115</v>
      </c>
      <c r="AG104" s="3">
        <v>45592</v>
      </c>
      <c r="AH104" s="3">
        <v>45598</v>
      </c>
    </row>
    <row r="105" spans="1:34" ht="12" customHeight="1">
      <c r="A105" s="3">
        <v>45590</v>
      </c>
      <c r="B105" s="5" t="s">
        <v>363</v>
      </c>
      <c r="C105" s="5" t="s">
        <v>364</v>
      </c>
      <c r="D105" s="5" t="s">
        <v>112</v>
      </c>
      <c r="E105" s="5" t="s">
        <v>37</v>
      </c>
      <c r="F105" s="5" t="str">
        <f t="shared" si="8"/>
        <v>Sugar</v>
      </c>
      <c r="G105" s="5" t="s">
        <v>49</v>
      </c>
      <c r="H105" s="5" t="s">
        <v>39</v>
      </c>
      <c r="I105" s="5" t="s">
        <v>80</v>
      </c>
      <c r="J105" s="6">
        <v>10</v>
      </c>
      <c r="K105" s="6">
        <v>260</v>
      </c>
      <c r="L105" s="6">
        <v>585.9</v>
      </c>
      <c r="M105" s="6">
        <f t="shared" si="9"/>
        <v>152334</v>
      </c>
      <c r="N105" s="6">
        <v>4039.2</v>
      </c>
      <c r="O105" s="6">
        <v>558</v>
      </c>
      <c r="P105" s="6">
        <f t="shared" si="10"/>
        <v>145080</v>
      </c>
      <c r="Q105" s="6">
        <f t="shared" si="11"/>
        <v>7254</v>
      </c>
      <c r="R105" s="6">
        <v>9900</v>
      </c>
      <c r="S105" s="6">
        <v>0</v>
      </c>
      <c r="T105" s="6">
        <v>0</v>
      </c>
      <c r="U105" s="6">
        <v>0</v>
      </c>
      <c r="V105" s="6">
        <v>42.593037974683497</v>
      </c>
      <c r="W105" s="6">
        <f t="shared" si="12"/>
        <v>4039.2</v>
      </c>
      <c r="X105" s="6">
        <f t="shared" si="13"/>
        <v>9942.5930379746842</v>
      </c>
      <c r="Y105" s="6">
        <v>0</v>
      </c>
      <c r="Z105" s="6">
        <f t="shared" si="14"/>
        <v>1350.6069620253156</v>
      </c>
      <c r="AA105" s="6" t="str">
        <f t="shared" si="15"/>
        <v xml:space="preserve"> Profit</v>
      </c>
      <c r="AB105" s="5" t="s">
        <v>365</v>
      </c>
      <c r="AC105" s="5" t="s">
        <v>82</v>
      </c>
      <c r="AD105" s="5" t="s">
        <v>43</v>
      </c>
      <c r="AE105" s="7" t="s">
        <v>114</v>
      </c>
      <c r="AF105" s="7" t="s">
        <v>115</v>
      </c>
      <c r="AG105" s="3">
        <v>45594</v>
      </c>
      <c r="AH105" s="3">
        <v>45600</v>
      </c>
    </row>
    <row r="106" spans="1:34" ht="12" customHeight="1">
      <c r="A106" s="3">
        <v>45593</v>
      </c>
      <c r="B106" s="5" t="s">
        <v>366</v>
      </c>
      <c r="C106" s="5" t="s">
        <v>367</v>
      </c>
      <c r="D106" s="5" t="s">
        <v>36</v>
      </c>
      <c r="E106" s="5" t="s">
        <v>37</v>
      </c>
      <c r="F106" s="5" t="str">
        <f t="shared" si="8"/>
        <v>Sugar</v>
      </c>
      <c r="G106" s="5" t="s">
        <v>57</v>
      </c>
      <c r="H106" s="5" t="s">
        <v>39</v>
      </c>
      <c r="I106" s="5" t="s">
        <v>80</v>
      </c>
      <c r="J106" s="6">
        <v>10</v>
      </c>
      <c r="K106" s="6">
        <v>260</v>
      </c>
      <c r="L106" s="6">
        <v>585.9</v>
      </c>
      <c r="M106" s="6">
        <f t="shared" si="9"/>
        <v>152334</v>
      </c>
      <c r="N106" s="6">
        <v>3978</v>
      </c>
      <c r="O106" s="6">
        <v>558</v>
      </c>
      <c r="P106" s="6">
        <f t="shared" si="10"/>
        <v>145080</v>
      </c>
      <c r="Q106" s="6">
        <f t="shared" si="11"/>
        <v>7254</v>
      </c>
      <c r="R106" s="6">
        <v>9750</v>
      </c>
      <c r="S106" s="6">
        <v>0</v>
      </c>
      <c r="T106" s="6">
        <v>0</v>
      </c>
      <c r="U106" s="6">
        <v>0</v>
      </c>
      <c r="V106" s="6">
        <v>35.443037974683499</v>
      </c>
      <c r="W106" s="6">
        <f t="shared" si="12"/>
        <v>3978</v>
      </c>
      <c r="X106" s="6">
        <f t="shared" si="13"/>
        <v>9785.4430379746827</v>
      </c>
      <c r="Y106" s="6">
        <v>0</v>
      </c>
      <c r="Z106" s="6">
        <f t="shared" si="14"/>
        <v>1446.5569620253173</v>
      </c>
      <c r="AA106" s="6" t="str">
        <f t="shared" si="15"/>
        <v xml:space="preserve"> Profit</v>
      </c>
      <c r="AB106" s="5" t="s">
        <v>368</v>
      </c>
      <c r="AC106" s="5" t="s">
        <v>42</v>
      </c>
      <c r="AD106" s="5" t="s">
        <v>43</v>
      </c>
      <c r="AE106" s="7" t="s">
        <v>44</v>
      </c>
      <c r="AF106" s="5" t="s">
        <v>45</v>
      </c>
      <c r="AG106" s="3">
        <v>45597</v>
      </c>
      <c r="AH106" s="3">
        <v>45603</v>
      </c>
    </row>
    <row r="107" spans="1:34" ht="12" customHeight="1">
      <c r="A107" s="3">
        <v>45593</v>
      </c>
      <c r="B107" s="5" t="s">
        <v>369</v>
      </c>
      <c r="C107" s="5" t="s">
        <v>356</v>
      </c>
      <c r="D107" s="5" t="s">
        <v>36</v>
      </c>
      <c r="E107" s="5" t="s">
        <v>37</v>
      </c>
      <c r="F107" s="5" t="str">
        <f t="shared" si="8"/>
        <v>Sugar</v>
      </c>
      <c r="G107" s="5" t="s">
        <v>49</v>
      </c>
      <c r="H107" s="5" t="s">
        <v>39</v>
      </c>
      <c r="I107" s="5" t="s">
        <v>80</v>
      </c>
      <c r="J107" s="6">
        <v>20</v>
      </c>
      <c r="K107" s="6">
        <v>520</v>
      </c>
      <c r="L107" s="6">
        <v>568.04999999999995</v>
      </c>
      <c r="M107" s="6">
        <f t="shared" si="9"/>
        <v>295386</v>
      </c>
      <c r="N107" s="6">
        <v>7956</v>
      </c>
      <c r="O107" s="6">
        <v>541</v>
      </c>
      <c r="P107" s="6">
        <f t="shared" si="10"/>
        <v>281320</v>
      </c>
      <c r="Q107" s="6">
        <f t="shared" si="11"/>
        <v>14066</v>
      </c>
      <c r="R107" s="6">
        <v>19500</v>
      </c>
      <c r="S107" s="6">
        <v>0</v>
      </c>
      <c r="T107" s="6">
        <v>0</v>
      </c>
      <c r="U107" s="6">
        <v>0</v>
      </c>
      <c r="V107" s="6">
        <v>12.89</v>
      </c>
      <c r="W107" s="6">
        <f t="shared" si="12"/>
        <v>7956</v>
      </c>
      <c r="X107" s="6">
        <f t="shared" si="13"/>
        <v>19512.89</v>
      </c>
      <c r="Y107" s="6">
        <v>0</v>
      </c>
      <c r="Z107" s="6">
        <f t="shared" si="14"/>
        <v>2509.1100000000006</v>
      </c>
      <c r="AA107" s="6" t="str">
        <f t="shared" si="15"/>
        <v xml:space="preserve"> Profit</v>
      </c>
      <c r="AB107" s="5" t="s">
        <v>370</v>
      </c>
      <c r="AC107" s="5" t="s">
        <v>42</v>
      </c>
      <c r="AD107" s="5" t="s">
        <v>43</v>
      </c>
      <c r="AE107" s="7" t="s">
        <v>44</v>
      </c>
      <c r="AF107" s="5" t="s">
        <v>45</v>
      </c>
      <c r="AG107" s="3">
        <v>45597</v>
      </c>
      <c r="AH107" s="3">
        <v>45603</v>
      </c>
    </row>
    <row r="108" spans="1:34" ht="12" customHeight="1">
      <c r="A108" s="3">
        <v>45595</v>
      </c>
      <c r="B108" s="5" t="s">
        <v>371</v>
      </c>
      <c r="C108" s="5" t="s">
        <v>356</v>
      </c>
      <c r="D108" s="5" t="s">
        <v>112</v>
      </c>
      <c r="E108" s="5" t="s">
        <v>37</v>
      </c>
      <c r="F108" s="5" t="str">
        <f t="shared" si="8"/>
        <v>Sugar</v>
      </c>
      <c r="G108" s="5" t="s">
        <v>49</v>
      </c>
      <c r="H108" s="5" t="s">
        <v>39</v>
      </c>
      <c r="I108" s="5" t="s">
        <v>80</v>
      </c>
      <c r="J108" s="6">
        <v>16</v>
      </c>
      <c r="K108" s="6">
        <v>416</v>
      </c>
      <c r="L108" s="6">
        <v>568.04999999999995</v>
      </c>
      <c r="M108" s="6">
        <f t="shared" si="9"/>
        <v>236308.8</v>
      </c>
      <c r="N108" s="6">
        <v>5712</v>
      </c>
      <c r="O108" s="6">
        <v>541</v>
      </c>
      <c r="P108" s="6">
        <f t="shared" si="10"/>
        <v>225056</v>
      </c>
      <c r="Q108" s="6">
        <f t="shared" si="11"/>
        <v>11252.799999999988</v>
      </c>
      <c r="R108" s="6">
        <v>14000</v>
      </c>
      <c r="S108" s="6">
        <v>0</v>
      </c>
      <c r="T108" s="6">
        <v>0</v>
      </c>
      <c r="U108" s="6">
        <v>0</v>
      </c>
      <c r="V108" s="6">
        <v>0</v>
      </c>
      <c r="W108" s="6">
        <f t="shared" si="12"/>
        <v>5712</v>
      </c>
      <c r="X108" s="6">
        <f t="shared" si="13"/>
        <v>14000</v>
      </c>
      <c r="Y108" s="6">
        <v>0</v>
      </c>
      <c r="Z108" s="6">
        <f t="shared" si="14"/>
        <v>2964.7999999999884</v>
      </c>
      <c r="AA108" s="6" t="str">
        <f t="shared" si="15"/>
        <v xml:space="preserve"> Profit</v>
      </c>
      <c r="AB108" s="5" t="s">
        <v>372</v>
      </c>
      <c r="AC108" s="5" t="s">
        <v>42</v>
      </c>
      <c r="AD108" s="5" t="s">
        <v>43</v>
      </c>
      <c r="AE108" s="7" t="s">
        <v>44</v>
      </c>
      <c r="AF108" s="5" t="s">
        <v>45</v>
      </c>
      <c r="AG108" s="3">
        <v>45599</v>
      </c>
      <c r="AH108" s="3">
        <v>45605</v>
      </c>
    </row>
    <row r="109" spans="1:34" ht="12" customHeight="1">
      <c r="A109" s="3">
        <v>45596</v>
      </c>
      <c r="B109" s="5" t="s">
        <v>373</v>
      </c>
      <c r="C109" s="5" t="s">
        <v>356</v>
      </c>
      <c r="D109" s="5" t="s">
        <v>36</v>
      </c>
      <c r="E109" s="5" t="s">
        <v>37</v>
      </c>
      <c r="F109" s="5" t="str">
        <f t="shared" si="8"/>
        <v>Sugar</v>
      </c>
      <c r="G109" s="5" t="s">
        <v>49</v>
      </c>
      <c r="H109" s="5" t="s">
        <v>39</v>
      </c>
      <c r="I109" s="5" t="s">
        <v>40</v>
      </c>
      <c r="J109" s="6">
        <v>10</v>
      </c>
      <c r="K109" s="6">
        <v>260</v>
      </c>
      <c r="L109" s="6">
        <v>568.04999999999995</v>
      </c>
      <c r="M109" s="6">
        <f t="shared" si="9"/>
        <v>147693</v>
      </c>
      <c r="N109" s="6">
        <v>3570</v>
      </c>
      <c r="O109" s="6">
        <v>541</v>
      </c>
      <c r="P109" s="6">
        <f t="shared" si="10"/>
        <v>140660</v>
      </c>
      <c r="Q109" s="6">
        <f t="shared" si="11"/>
        <v>7033</v>
      </c>
      <c r="R109" s="6">
        <v>8750</v>
      </c>
      <c r="S109" s="6">
        <v>700</v>
      </c>
      <c r="T109" s="6">
        <v>0</v>
      </c>
      <c r="U109" s="6">
        <v>210</v>
      </c>
      <c r="V109" s="6">
        <v>7.15</v>
      </c>
      <c r="W109" s="6">
        <f t="shared" si="12"/>
        <v>3570</v>
      </c>
      <c r="X109" s="6">
        <f t="shared" si="13"/>
        <v>9667.15</v>
      </c>
      <c r="Y109" s="6">
        <v>0</v>
      </c>
      <c r="Z109" s="6">
        <f t="shared" si="14"/>
        <v>935.85000000000036</v>
      </c>
      <c r="AA109" s="6" t="str">
        <f t="shared" si="15"/>
        <v xml:space="preserve"> Profit</v>
      </c>
      <c r="AB109" s="5" t="s">
        <v>374</v>
      </c>
      <c r="AC109" s="5" t="s">
        <v>42</v>
      </c>
      <c r="AD109" s="5" t="s">
        <v>43</v>
      </c>
      <c r="AE109" s="7" t="s">
        <v>44</v>
      </c>
      <c r="AF109" s="5" t="s">
        <v>45</v>
      </c>
      <c r="AG109" s="3">
        <v>45600</v>
      </c>
      <c r="AH109" s="3">
        <v>45606</v>
      </c>
    </row>
    <row r="110" spans="1:34" ht="12" customHeight="1">
      <c r="A110" s="3">
        <v>45599</v>
      </c>
      <c r="B110" s="5" t="s">
        <v>375</v>
      </c>
      <c r="C110" s="5" t="s">
        <v>356</v>
      </c>
      <c r="D110" s="5" t="s">
        <v>36</v>
      </c>
      <c r="E110" s="5" t="s">
        <v>37</v>
      </c>
      <c r="F110" s="5" t="str">
        <f t="shared" si="8"/>
        <v>Sugar</v>
      </c>
      <c r="G110" s="5" t="s">
        <v>49</v>
      </c>
      <c r="H110" s="5" t="s">
        <v>39</v>
      </c>
      <c r="I110" s="5" t="s">
        <v>40</v>
      </c>
      <c r="J110" s="6">
        <v>20</v>
      </c>
      <c r="K110" s="6">
        <v>520</v>
      </c>
      <c r="L110" s="6">
        <v>568.04999999999995</v>
      </c>
      <c r="M110" s="6">
        <f t="shared" si="9"/>
        <v>295386</v>
      </c>
      <c r="N110" s="6">
        <v>7140</v>
      </c>
      <c r="O110" s="6">
        <v>541</v>
      </c>
      <c r="P110" s="6">
        <f t="shared" si="10"/>
        <v>281320</v>
      </c>
      <c r="Q110" s="6">
        <f t="shared" si="11"/>
        <v>14066</v>
      </c>
      <c r="R110" s="6">
        <v>17500</v>
      </c>
      <c r="S110" s="6">
        <v>1400</v>
      </c>
      <c r="T110" s="6">
        <v>0</v>
      </c>
      <c r="U110" s="6">
        <v>420</v>
      </c>
      <c r="V110" s="6">
        <v>7.15</v>
      </c>
      <c r="W110" s="6">
        <f t="shared" si="12"/>
        <v>7140</v>
      </c>
      <c r="X110" s="6">
        <f t="shared" si="13"/>
        <v>19327.150000000001</v>
      </c>
      <c r="Y110" s="6">
        <v>0</v>
      </c>
      <c r="Z110" s="6">
        <f t="shared" si="14"/>
        <v>1878.8499999999985</v>
      </c>
      <c r="AA110" s="6" t="str">
        <f t="shared" si="15"/>
        <v xml:space="preserve"> Profit</v>
      </c>
      <c r="AB110" s="5" t="s">
        <v>376</v>
      </c>
      <c r="AC110" s="5" t="s">
        <v>184</v>
      </c>
      <c r="AD110" s="5" t="s">
        <v>67</v>
      </c>
      <c r="AE110" s="8" t="s">
        <v>185</v>
      </c>
      <c r="AF110" s="8" t="s">
        <v>185</v>
      </c>
      <c r="AG110" s="3">
        <v>45603</v>
      </c>
      <c r="AH110" s="3">
        <v>45609</v>
      </c>
    </row>
    <row r="111" spans="1:34" ht="12" customHeight="1">
      <c r="A111" s="3">
        <v>45602</v>
      </c>
      <c r="B111" s="5" t="s">
        <v>377</v>
      </c>
      <c r="C111" s="5" t="s">
        <v>356</v>
      </c>
      <c r="D111" s="5" t="s">
        <v>112</v>
      </c>
      <c r="E111" s="5" t="s">
        <v>37</v>
      </c>
      <c r="F111" s="5" t="str">
        <f t="shared" si="8"/>
        <v>Sugar</v>
      </c>
      <c r="G111" s="5" t="s">
        <v>49</v>
      </c>
      <c r="H111" s="5" t="s">
        <v>39</v>
      </c>
      <c r="I111" s="5" t="s">
        <v>40</v>
      </c>
      <c r="J111" s="6">
        <v>20</v>
      </c>
      <c r="K111" s="6">
        <v>520</v>
      </c>
      <c r="L111" s="6">
        <v>556.5</v>
      </c>
      <c r="M111" s="6">
        <f t="shared" si="9"/>
        <v>289380</v>
      </c>
      <c r="N111" s="6">
        <v>7140</v>
      </c>
      <c r="O111" s="6">
        <v>530</v>
      </c>
      <c r="P111" s="6">
        <f t="shared" si="10"/>
        <v>275600</v>
      </c>
      <c r="Q111" s="6">
        <f t="shared" si="11"/>
        <v>13780</v>
      </c>
      <c r="R111" s="6">
        <v>17500</v>
      </c>
      <c r="S111" s="6">
        <v>1400</v>
      </c>
      <c r="T111" s="6">
        <v>0</v>
      </c>
      <c r="U111" s="6">
        <v>420</v>
      </c>
      <c r="V111" s="6">
        <v>7.15</v>
      </c>
      <c r="W111" s="6">
        <f t="shared" si="12"/>
        <v>7140</v>
      </c>
      <c r="X111" s="6">
        <f t="shared" si="13"/>
        <v>19327.150000000001</v>
      </c>
      <c r="Y111" s="6">
        <v>0</v>
      </c>
      <c r="Z111" s="6">
        <f t="shared" si="14"/>
        <v>1592.8499999999985</v>
      </c>
      <c r="AA111" s="6" t="str">
        <f t="shared" si="15"/>
        <v xml:space="preserve"> Profit</v>
      </c>
      <c r="AB111" s="5" t="s">
        <v>378</v>
      </c>
      <c r="AC111" s="5" t="s">
        <v>184</v>
      </c>
      <c r="AD111" s="5" t="s">
        <v>67</v>
      </c>
      <c r="AE111" s="8" t="s">
        <v>185</v>
      </c>
      <c r="AF111" s="8" t="s">
        <v>185</v>
      </c>
      <c r="AG111" s="3">
        <v>45606</v>
      </c>
      <c r="AH111" s="3">
        <v>45612</v>
      </c>
    </row>
    <row r="112" spans="1:34" ht="12" customHeight="1">
      <c r="A112" s="3">
        <v>45603</v>
      </c>
      <c r="B112" s="5" t="s">
        <v>379</v>
      </c>
      <c r="C112" s="5" t="s">
        <v>356</v>
      </c>
      <c r="D112" s="5" t="s">
        <v>36</v>
      </c>
      <c r="E112" s="5" t="s">
        <v>37</v>
      </c>
      <c r="F112" s="5" t="str">
        <f t="shared" si="8"/>
        <v>Sugar</v>
      </c>
      <c r="G112" s="5" t="s">
        <v>49</v>
      </c>
      <c r="H112" s="5" t="s">
        <v>39</v>
      </c>
      <c r="I112" s="5" t="s">
        <v>40</v>
      </c>
      <c r="J112" s="6">
        <v>0</v>
      </c>
      <c r="K112" s="6">
        <v>405</v>
      </c>
      <c r="L112" s="6">
        <v>594.33938148148195</v>
      </c>
      <c r="M112" s="6">
        <f t="shared" si="9"/>
        <v>240707.44950000019</v>
      </c>
      <c r="N112" s="6">
        <v>8096.6925275622798</v>
      </c>
      <c r="O112" s="6">
        <v>566.03750617284004</v>
      </c>
      <c r="P112" s="6">
        <f t="shared" si="10"/>
        <v>229245.19000000021</v>
      </c>
      <c r="Q112" s="6">
        <f t="shared" si="11"/>
        <v>11462.259499999986</v>
      </c>
      <c r="R112" s="6">
        <v>19844.834626378099</v>
      </c>
      <c r="S112" s="6">
        <v>1587.58677011025</v>
      </c>
      <c r="T112" s="6">
        <v>0</v>
      </c>
      <c r="U112" s="6">
        <v>476.27603103307501</v>
      </c>
      <c r="V112" s="6">
        <v>7.15</v>
      </c>
      <c r="W112" s="6">
        <f t="shared" si="12"/>
        <v>8096.6925275622798</v>
      </c>
      <c r="X112" s="6">
        <f t="shared" si="13"/>
        <v>21915.847427521425</v>
      </c>
      <c r="Y112" s="6">
        <v>0</v>
      </c>
      <c r="Z112" s="6">
        <f t="shared" si="14"/>
        <v>-2356.8953999591595</v>
      </c>
      <c r="AA112" s="6" t="str">
        <f t="shared" si="15"/>
        <v xml:space="preserve"> Loss</v>
      </c>
      <c r="AB112" s="5" t="s">
        <v>380</v>
      </c>
      <c r="AC112" s="5" t="s">
        <v>42</v>
      </c>
      <c r="AD112" s="5" t="s">
        <v>43</v>
      </c>
      <c r="AE112" s="7" t="s">
        <v>44</v>
      </c>
      <c r="AF112" s="5" t="s">
        <v>45</v>
      </c>
      <c r="AG112" s="3">
        <v>45607</v>
      </c>
      <c r="AH112" s="3">
        <v>45613</v>
      </c>
    </row>
    <row r="113" spans="1:34" ht="12" customHeight="1">
      <c r="A113" s="3">
        <v>45604</v>
      </c>
      <c r="B113" s="5" t="s">
        <v>381</v>
      </c>
      <c r="C113" s="5" t="s">
        <v>356</v>
      </c>
      <c r="D113" s="5" t="s">
        <v>112</v>
      </c>
      <c r="E113" s="5" t="s">
        <v>37</v>
      </c>
      <c r="F113" s="5" t="str">
        <f t="shared" si="8"/>
        <v>Sugar</v>
      </c>
      <c r="G113" s="5" t="s">
        <v>49</v>
      </c>
      <c r="H113" s="5" t="s">
        <v>39</v>
      </c>
      <c r="I113" s="5" t="s">
        <v>40</v>
      </c>
      <c r="J113" s="6">
        <v>0</v>
      </c>
      <c r="K113" s="6">
        <v>250</v>
      </c>
      <c r="L113" s="6">
        <v>618.45000000000005</v>
      </c>
      <c r="M113" s="6">
        <f t="shared" si="9"/>
        <v>154612.5</v>
      </c>
      <c r="N113" s="6">
        <v>11016</v>
      </c>
      <c r="O113" s="6">
        <v>589</v>
      </c>
      <c r="P113" s="6">
        <f t="shared" si="10"/>
        <v>147250</v>
      </c>
      <c r="Q113" s="6">
        <f t="shared" si="11"/>
        <v>7362.5</v>
      </c>
      <c r="R113" s="6">
        <v>27000</v>
      </c>
      <c r="S113" s="6">
        <v>2160</v>
      </c>
      <c r="T113" s="6">
        <v>0</v>
      </c>
      <c r="U113" s="6">
        <v>648</v>
      </c>
      <c r="V113" s="6">
        <v>7.15</v>
      </c>
      <c r="W113" s="6">
        <f t="shared" si="12"/>
        <v>11016</v>
      </c>
      <c r="X113" s="6">
        <f t="shared" si="13"/>
        <v>29815.15</v>
      </c>
      <c r="Y113" s="6">
        <v>0</v>
      </c>
      <c r="Z113" s="6">
        <f t="shared" si="14"/>
        <v>-11436.650000000001</v>
      </c>
      <c r="AA113" s="6" t="str">
        <f t="shared" si="15"/>
        <v xml:space="preserve"> Loss</v>
      </c>
      <c r="AB113" s="5" t="s">
        <v>382</v>
      </c>
      <c r="AC113" s="5" t="s">
        <v>42</v>
      </c>
      <c r="AD113" s="5" t="s">
        <v>43</v>
      </c>
      <c r="AE113" s="7" t="s">
        <v>44</v>
      </c>
      <c r="AF113" s="5" t="s">
        <v>45</v>
      </c>
      <c r="AG113" s="3">
        <v>45608</v>
      </c>
      <c r="AH113" s="3">
        <v>45614</v>
      </c>
    </row>
    <row r="114" spans="1:34" ht="12" customHeight="1">
      <c r="A114" s="3">
        <v>45608</v>
      </c>
      <c r="B114" s="5" t="s">
        <v>383</v>
      </c>
      <c r="C114" s="5" t="s">
        <v>356</v>
      </c>
      <c r="D114" s="5" t="s">
        <v>36</v>
      </c>
      <c r="E114" s="5" t="s">
        <v>37</v>
      </c>
      <c r="F114" s="5" t="str">
        <f t="shared" si="8"/>
        <v>Sugar</v>
      </c>
      <c r="G114" s="5" t="s">
        <v>49</v>
      </c>
      <c r="H114" s="5" t="s">
        <v>39</v>
      </c>
      <c r="I114" s="5" t="s">
        <v>40</v>
      </c>
      <c r="J114" s="6">
        <v>8</v>
      </c>
      <c r="K114" s="6">
        <v>212</v>
      </c>
      <c r="L114" s="6">
        <v>556.5</v>
      </c>
      <c r="M114" s="6">
        <f t="shared" si="9"/>
        <v>117978</v>
      </c>
      <c r="N114" s="6">
        <v>2970.24</v>
      </c>
      <c r="O114" s="6">
        <v>530</v>
      </c>
      <c r="P114" s="6">
        <f t="shared" si="10"/>
        <v>112360</v>
      </c>
      <c r="Q114" s="6">
        <f t="shared" si="11"/>
        <v>5618</v>
      </c>
      <c r="R114" s="6">
        <v>7280</v>
      </c>
      <c r="S114" s="6">
        <v>582.4</v>
      </c>
      <c r="T114" s="6">
        <v>0</v>
      </c>
      <c r="U114" s="6">
        <v>174.72</v>
      </c>
      <c r="V114" s="6">
        <v>7.15</v>
      </c>
      <c r="W114" s="6">
        <f t="shared" si="12"/>
        <v>2970.24</v>
      </c>
      <c r="X114" s="6">
        <f t="shared" si="13"/>
        <v>8044.2699999999995</v>
      </c>
      <c r="Y114" s="6">
        <v>0</v>
      </c>
      <c r="Z114" s="6">
        <f t="shared" si="14"/>
        <v>543.97000000000025</v>
      </c>
      <c r="AA114" s="6" t="str">
        <f t="shared" si="15"/>
        <v xml:space="preserve"> Profit</v>
      </c>
      <c r="AB114" s="5" t="s">
        <v>354</v>
      </c>
      <c r="AC114" s="5" t="s">
        <v>42</v>
      </c>
      <c r="AD114" s="5" t="s">
        <v>43</v>
      </c>
      <c r="AE114" s="7" t="s">
        <v>44</v>
      </c>
      <c r="AF114" s="5" t="s">
        <v>45</v>
      </c>
      <c r="AG114" s="3">
        <v>45612</v>
      </c>
      <c r="AH114" s="3">
        <v>45618</v>
      </c>
    </row>
    <row r="115" spans="1:34" ht="12" customHeight="1">
      <c r="A115" s="3">
        <v>45608</v>
      </c>
      <c r="B115" s="5" t="s">
        <v>384</v>
      </c>
      <c r="C115" s="5" t="s">
        <v>356</v>
      </c>
      <c r="D115" s="5" t="s">
        <v>112</v>
      </c>
      <c r="E115" s="5" t="s">
        <v>37</v>
      </c>
      <c r="F115" s="5" t="str">
        <f t="shared" si="8"/>
        <v>Sugar</v>
      </c>
      <c r="G115" s="5" t="s">
        <v>49</v>
      </c>
      <c r="H115" s="5" t="s">
        <v>39</v>
      </c>
      <c r="I115" s="5" t="s">
        <v>40</v>
      </c>
      <c r="J115" s="6">
        <v>10</v>
      </c>
      <c r="K115" s="6">
        <v>265</v>
      </c>
      <c r="L115" s="6">
        <v>520</v>
      </c>
      <c r="M115" s="6">
        <f t="shared" si="9"/>
        <v>137800</v>
      </c>
      <c r="N115" s="6">
        <v>3712.8</v>
      </c>
      <c r="O115" s="6">
        <v>530</v>
      </c>
      <c r="P115" s="6">
        <f t="shared" si="10"/>
        <v>140450</v>
      </c>
      <c r="Q115" s="6">
        <f t="shared" si="11"/>
        <v>-2650</v>
      </c>
      <c r="R115" s="6">
        <v>9100</v>
      </c>
      <c r="S115" s="6">
        <v>728</v>
      </c>
      <c r="T115" s="6">
        <v>0</v>
      </c>
      <c r="U115" s="6">
        <v>218.4</v>
      </c>
      <c r="V115" s="6">
        <v>9457.15</v>
      </c>
      <c r="W115" s="6">
        <f t="shared" si="12"/>
        <v>3712.8</v>
      </c>
      <c r="X115" s="6">
        <f t="shared" si="13"/>
        <v>19503.55</v>
      </c>
      <c r="Y115" s="6">
        <v>0</v>
      </c>
      <c r="Z115" s="6">
        <f t="shared" si="14"/>
        <v>-18440.75</v>
      </c>
      <c r="AA115" s="6" t="str">
        <f t="shared" si="15"/>
        <v xml:space="preserve"> Loss</v>
      </c>
      <c r="AB115" s="5" t="s">
        <v>385</v>
      </c>
      <c r="AC115" s="5" t="s">
        <v>42</v>
      </c>
      <c r="AD115" s="5" t="s">
        <v>43</v>
      </c>
      <c r="AE115" s="7" t="s">
        <v>44</v>
      </c>
      <c r="AF115" s="5" t="s">
        <v>45</v>
      </c>
      <c r="AG115" s="3">
        <v>45612</v>
      </c>
      <c r="AH115" s="3">
        <v>45618</v>
      </c>
    </row>
    <row r="116" spans="1:34" ht="12" customHeight="1">
      <c r="A116" s="3">
        <v>45614</v>
      </c>
      <c r="B116" s="5" t="s">
        <v>386</v>
      </c>
      <c r="C116" s="5" t="s">
        <v>387</v>
      </c>
      <c r="D116" s="5" t="s">
        <v>112</v>
      </c>
      <c r="E116" s="5" t="s">
        <v>37</v>
      </c>
      <c r="F116" s="5" t="str">
        <f t="shared" si="8"/>
        <v>Sugar</v>
      </c>
      <c r="G116" s="5" t="s">
        <v>38</v>
      </c>
      <c r="H116" s="5" t="s">
        <v>39</v>
      </c>
      <c r="I116" s="5" t="s">
        <v>58</v>
      </c>
      <c r="J116" s="6">
        <v>1</v>
      </c>
      <c r="K116" s="6">
        <v>22</v>
      </c>
      <c r="L116" s="6">
        <v>6562.5</v>
      </c>
      <c r="M116" s="6">
        <f t="shared" si="9"/>
        <v>144375</v>
      </c>
      <c r="N116" s="6">
        <v>0</v>
      </c>
      <c r="O116" s="6">
        <v>6250</v>
      </c>
      <c r="P116" s="6">
        <f t="shared" si="10"/>
        <v>137500</v>
      </c>
      <c r="Q116" s="6">
        <f t="shared" si="11"/>
        <v>6875</v>
      </c>
      <c r="R116" s="6">
        <v>0</v>
      </c>
      <c r="S116" s="6">
        <v>0</v>
      </c>
      <c r="T116" s="6">
        <v>0</v>
      </c>
      <c r="U116" s="6">
        <v>0</v>
      </c>
      <c r="V116" s="6">
        <v>52.5</v>
      </c>
      <c r="W116" s="6">
        <f t="shared" si="12"/>
        <v>0</v>
      </c>
      <c r="X116" s="6">
        <f t="shared" si="13"/>
        <v>52.5</v>
      </c>
      <c r="Y116" s="6">
        <v>0</v>
      </c>
      <c r="Z116" s="6">
        <f t="shared" si="14"/>
        <v>6822.5</v>
      </c>
      <c r="AA116" s="6" t="str">
        <f t="shared" si="15"/>
        <v xml:space="preserve"> Profit</v>
      </c>
      <c r="AB116" s="5" t="s">
        <v>388</v>
      </c>
      <c r="AC116" s="5" t="s">
        <v>82</v>
      </c>
      <c r="AD116" s="5" t="s">
        <v>43</v>
      </c>
      <c r="AE116" s="7" t="s">
        <v>114</v>
      </c>
      <c r="AF116" s="7" t="s">
        <v>115</v>
      </c>
      <c r="AG116" s="3">
        <v>45618</v>
      </c>
      <c r="AH116" s="3">
        <v>45624</v>
      </c>
    </row>
    <row r="117" spans="1:34" ht="12" customHeight="1">
      <c r="A117" s="3">
        <v>45614</v>
      </c>
      <c r="B117" s="5" t="s">
        <v>389</v>
      </c>
      <c r="C117" s="5" t="s">
        <v>61</v>
      </c>
      <c r="D117" s="5" t="s">
        <v>36</v>
      </c>
      <c r="E117" s="5" t="s">
        <v>63</v>
      </c>
      <c r="F117" s="5" t="str">
        <f t="shared" si="8"/>
        <v>Rice</v>
      </c>
      <c r="G117" s="5" t="s">
        <v>49</v>
      </c>
      <c r="H117" s="5" t="s">
        <v>64</v>
      </c>
      <c r="I117" s="5" t="s">
        <v>58</v>
      </c>
      <c r="J117" s="6">
        <v>30</v>
      </c>
      <c r="K117" s="6">
        <v>795</v>
      </c>
      <c r="L117" s="6">
        <v>554.4</v>
      </c>
      <c r="M117" s="6">
        <f t="shared" si="9"/>
        <v>440748</v>
      </c>
      <c r="N117" s="6">
        <v>0</v>
      </c>
      <c r="O117" s="6">
        <v>528</v>
      </c>
      <c r="P117" s="6">
        <f t="shared" si="10"/>
        <v>419760</v>
      </c>
      <c r="Q117" s="6">
        <f t="shared" si="11"/>
        <v>20988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f t="shared" si="12"/>
        <v>0</v>
      </c>
      <c r="X117" s="6">
        <f t="shared" si="13"/>
        <v>0</v>
      </c>
      <c r="Y117" s="6">
        <v>0</v>
      </c>
      <c r="Z117" s="6">
        <f t="shared" si="14"/>
        <v>20988</v>
      </c>
      <c r="AA117" s="6" t="str">
        <f t="shared" si="15"/>
        <v xml:space="preserve"> Profit</v>
      </c>
      <c r="AB117" s="5" t="s">
        <v>390</v>
      </c>
      <c r="AC117" s="5" t="s">
        <v>82</v>
      </c>
      <c r="AD117" s="5" t="s">
        <v>43</v>
      </c>
      <c r="AE117" s="7" t="s">
        <v>114</v>
      </c>
      <c r="AF117" s="7" t="s">
        <v>115</v>
      </c>
      <c r="AG117" s="3">
        <v>45618</v>
      </c>
      <c r="AH117" s="3">
        <v>45624</v>
      </c>
    </row>
    <row r="118" spans="1:34" ht="12" customHeight="1">
      <c r="A118" s="3">
        <v>45616</v>
      </c>
      <c r="B118" s="5" t="s">
        <v>391</v>
      </c>
      <c r="C118" s="5" t="s">
        <v>392</v>
      </c>
      <c r="D118" s="5" t="s">
        <v>393</v>
      </c>
      <c r="E118" s="5" t="s">
        <v>37</v>
      </c>
      <c r="F118" s="5" t="str">
        <f t="shared" si="8"/>
        <v>Sugar</v>
      </c>
      <c r="G118" s="5" t="s">
        <v>38</v>
      </c>
      <c r="H118" s="5" t="s">
        <v>39</v>
      </c>
      <c r="I118" s="5" t="s">
        <v>58</v>
      </c>
      <c r="J118" s="6">
        <v>30</v>
      </c>
      <c r="K118" s="6">
        <v>780</v>
      </c>
      <c r="L118" s="6">
        <v>698.33399999999995</v>
      </c>
      <c r="M118" s="6">
        <f t="shared" si="9"/>
        <v>544700.5199999999</v>
      </c>
      <c r="N118" s="6">
        <v>0</v>
      </c>
      <c r="O118" s="6">
        <v>665.08</v>
      </c>
      <c r="P118" s="6">
        <f t="shared" si="10"/>
        <v>518762.4</v>
      </c>
      <c r="Q118" s="6">
        <f t="shared" si="11"/>
        <v>25938.119999999879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f t="shared" si="12"/>
        <v>0</v>
      </c>
      <c r="X118" s="6">
        <f t="shared" si="13"/>
        <v>0</v>
      </c>
      <c r="Y118" s="6">
        <v>0</v>
      </c>
      <c r="Z118" s="6">
        <f t="shared" si="14"/>
        <v>25938.119999999879</v>
      </c>
      <c r="AA118" s="6" t="str">
        <f t="shared" si="15"/>
        <v xml:space="preserve"> Profit</v>
      </c>
      <c r="AB118" s="5" t="s">
        <v>394</v>
      </c>
      <c r="AC118" s="5" t="s">
        <v>82</v>
      </c>
      <c r="AD118" s="5" t="s">
        <v>43</v>
      </c>
      <c r="AE118" s="7" t="s">
        <v>114</v>
      </c>
      <c r="AF118" s="7" t="s">
        <v>115</v>
      </c>
      <c r="AG118" s="3">
        <v>45620</v>
      </c>
      <c r="AH118" s="3">
        <v>45626</v>
      </c>
    </row>
    <row r="119" spans="1:34" ht="12" customHeight="1">
      <c r="A119" s="3">
        <v>45618</v>
      </c>
      <c r="B119" s="5" t="s">
        <v>395</v>
      </c>
      <c r="C119" s="5" t="s">
        <v>396</v>
      </c>
      <c r="D119" s="5" t="s">
        <v>36</v>
      </c>
      <c r="E119" s="5" t="s">
        <v>397</v>
      </c>
      <c r="F119" s="5" t="str">
        <f t="shared" si="8"/>
        <v>Rice</v>
      </c>
      <c r="G119" s="5" t="s">
        <v>86</v>
      </c>
      <c r="H119" s="5" t="s">
        <v>64</v>
      </c>
      <c r="I119" s="5" t="s">
        <v>58</v>
      </c>
      <c r="J119" s="6">
        <v>30</v>
      </c>
      <c r="K119" s="6">
        <v>700</v>
      </c>
      <c r="L119" s="6">
        <v>525</v>
      </c>
      <c r="M119" s="6">
        <f t="shared" si="9"/>
        <v>367500</v>
      </c>
      <c r="N119" s="6">
        <v>0</v>
      </c>
      <c r="O119" s="6">
        <v>500</v>
      </c>
      <c r="P119" s="6">
        <f t="shared" si="10"/>
        <v>350000</v>
      </c>
      <c r="Q119" s="6">
        <f t="shared" si="11"/>
        <v>17500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f t="shared" si="12"/>
        <v>0</v>
      </c>
      <c r="X119" s="6">
        <f t="shared" si="13"/>
        <v>0</v>
      </c>
      <c r="Y119" s="6">
        <v>0</v>
      </c>
      <c r="Z119" s="6">
        <f t="shared" si="14"/>
        <v>17500</v>
      </c>
      <c r="AA119" s="6" t="str">
        <f t="shared" si="15"/>
        <v xml:space="preserve"> Profit</v>
      </c>
      <c r="AB119" s="5" t="s">
        <v>398</v>
      </c>
      <c r="AC119" s="5" t="s">
        <v>220</v>
      </c>
      <c r="AD119" s="5" t="s">
        <v>67</v>
      </c>
      <c r="AE119" s="7" t="s">
        <v>114</v>
      </c>
      <c r="AF119" s="7" t="s">
        <v>115</v>
      </c>
      <c r="AG119" s="3">
        <v>45622</v>
      </c>
      <c r="AH119" s="3">
        <v>45628</v>
      </c>
    </row>
    <row r="120" spans="1:34" ht="12" customHeight="1">
      <c r="A120" s="3">
        <v>45621</v>
      </c>
      <c r="B120" s="5" t="s">
        <v>399</v>
      </c>
      <c r="C120" s="5" t="s">
        <v>400</v>
      </c>
      <c r="D120" s="5" t="s">
        <v>48</v>
      </c>
      <c r="E120" s="5" t="s">
        <v>397</v>
      </c>
      <c r="F120" s="5" t="str">
        <f t="shared" si="8"/>
        <v>Rice</v>
      </c>
      <c r="G120" s="5" t="s">
        <v>38</v>
      </c>
      <c r="H120" s="5" t="s">
        <v>39</v>
      </c>
      <c r="I120" s="5" t="s">
        <v>58</v>
      </c>
      <c r="J120" s="6">
        <v>30</v>
      </c>
      <c r="K120" s="6">
        <v>780</v>
      </c>
      <c r="L120" s="6">
        <v>698.33399999999995</v>
      </c>
      <c r="M120" s="6">
        <f t="shared" si="9"/>
        <v>544700.5199999999</v>
      </c>
      <c r="N120" s="6">
        <v>0</v>
      </c>
      <c r="O120" s="6">
        <v>665.08</v>
      </c>
      <c r="P120" s="6">
        <f t="shared" si="10"/>
        <v>518762.4</v>
      </c>
      <c r="Q120" s="6">
        <f t="shared" si="11"/>
        <v>25938.119999999879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f t="shared" si="12"/>
        <v>0</v>
      </c>
      <c r="X120" s="6">
        <f t="shared" si="13"/>
        <v>0</v>
      </c>
      <c r="Y120" s="6">
        <v>0</v>
      </c>
      <c r="Z120" s="6">
        <f t="shared" si="14"/>
        <v>25938.119999999879</v>
      </c>
      <c r="AA120" s="6" t="str">
        <f t="shared" si="15"/>
        <v xml:space="preserve"> Profit</v>
      </c>
      <c r="AB120" s="5" t="s">
        <v>401</v>
      </c>
      <c r="AC120" s="5" t="s">
        <v>220</v>
      </c>
      <c r="AD120" s="5" t="s">
        <v>43</v>
      </c>
      <c r="AE120" s="7" t="s">
        <v>44</v>
      </c>
      <c r="AF120" s="5" t="s">
        <v>45</v>
      </c>
      <c r="AG120" s="3">
        <v>45625</v>
      </c>
      <c r="AH120" s="3">
        <v>45631</v>
      </c>
    </row>
    <row r="121" spans="1:34" ht="12" customHeight="1">
      <c r="A121" s="3">
        <v>45623</v>
      </c>
      <c r="B121" s="5" t="s">
        <v>402</v>
      </c>
      <c r="C121" s="5" t="s">
        <v>403</v>
      </c>
      <c r="D121" s="5" t="s">
        <v>36</v>
      </c>
      <c r="E121" s="5" t="s">
        <v>63</v>
      </c>
      <c r="F121" s="5" t="str">
        <f t="shared" si="8"/>
        <v>Rice</v>
      </c>
      <c r="G121" s="5" t="s">
        <v>49</v>
      </c>
      <c r="H121" s="5" t="s">
        <v>64</v>
      </c>
      <c r="I121" s="5" t="s">
        <v>58</v>
      </c>
      <c r="J121" s="6">
        <v>10</v>
      </c>
      <c r="K121" s="6">
        <v>260</v>
      </c>
      <c r="L121" s="6">
        <v>446.25</v>
      </c>
      <c r="M121" s="6">
        <f t="shared" si="9"/>
        <v>116025</v>
      </c>
      <c r="N121" s="6">
        <v>0</v>
      </c>
      <c r="O121" s="6">
        <v>425</v>
      </c>
      <c r="P121" s="6">
        <f t="shared" si="10"/>
        <v>110500</v>
      </c>
      <c r="Q121" s="6">
        <f t="shared" si="11"/>
        <v>5525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f t="shared" si="12"/>
        <v>0</v>
      </c>
      <c r="X121" s="6">
        <f t="shared" si="13"/>
        <v>0</v>
      </c>
      <c r="Y121" s="6">
        <v>0</v>
      </c>
      <c r="Z121" s="6">
        <f t="shared" si="14"/>
        <v>5525</v>
      </c>
      <c r="AA121" s="6" t="str">
        <f t="shared" si="15"/>
        <v xml:space="preserve"> Profit</v>
      </c>
      <c r="AB121" s="5" t="s">
        <v>273</v>
      </c>
      <c r="AC121" s="5" t="s">
        <v>217</v>
      </c>
      <c r="AD121" s="5" t="s">
        <v>67</v>
      </c>
      <c r="AE121" s="7" t="s">
        <v>44</v>
      </c>
      <c r="AF121" s="5" t="s">
        <v>45</v>
      </c>
      <c r="AG121" s="3">
        <v>45627</v>
      </c>
      <c r="AH121" s="3">
        <v>45633</v>
      </c>
    </row>
    <row r="122" spans="1:34" ht="12" customHeight="1">
      <c r="A122" s="3">
        <v>45629</v>
      </c>
      <c r="B122" s="5" t="s">
        <v>404</v>
      </c>
      <c r="C122" s="5" t="s">
        <v>405</v>
      </c>
      <c r="D122" s="5" t="s">
        <v>48</v>
      </c>
      <c r="E122" s="5" t="s">
        <v>63</v>
      </c>
      <c r="F122" s="5" t="str">
        <f t="shared" si="8"/>
        <v>Rice</v>
      </c>
      <c r="G122" s="5" t="s">
        <v>49</v>
      </c>
      <c r="H122" s="5" t="s">
        <v>64</v>
      </c>
      <c r="I122" s="5" t="s">
        <v>58</v>
      </c>
      <c r="J122" s="6">
        <v>10</v>
      </c>
      <c r="K122" s="6">
        <v>260</v>
      </c>
      <c r="L122" s="6">
        <v>446.25</v>
      </c>
      <c r="M122" s="6">
        <f t="shared" si="9"/>
        <v>116025</v>
      </c>
      <c r="N122" s="6">
        <v>0</v>
      </c>
      <c r="O122" s="6">
        <v>425</v>
      </c>
      <c r="P122" s="6">
        <f t="shared" si="10"/>
        <v>110500</v>
      </c>
      <c r="Q122" s="6">
        <f t="shared" si="11"/>
        <v>5525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f t="shared" si="12"/>
        <v>0</v>
      </c>
      <c r="X122" s="6">
        <f t="shared" si="13"/>
        <v>0</v>
      </c>
      <c r="Y122" s="6">
        <v>0</v>
      </c>
      <c r="Z122" s="6">
        <f t="shared" si="14"/>
        <v>5525</v>
      </c>
      <c r="AA122" s="6" t="str">
        <f t="shared" si="15"/>
        <v xml:space="preserve"> Profit</v>
      </c>
      <c r="AB122" s="5" t="s">
        <v>406</v>
      </c>
      <c r="AC122" s="5" t="s">
        <v>220</v>
      </c>
      <c r="AD122" s="5" t="s">
        <v>67</v>
      </c>
      <c r="AE122" s="7" t="s">
        <v>114</v>
      </c>
      <c r="AF122" s="7" t="s">
        <v>115</v>
      </c>
      <c r="AG122" s="3">
        <v>45627</v>
      </c>
      <c r="AH122" s="3">
        <v>45633</v>
      </c>
    </row>
    <row r="123" spans="1:34" ht="12" customHeight="1">
      <c r="A123" s="3">
        <v>45658</v>
      </c>
      <c r="B123" s="5" t="s">
        <v>407</v>
      </c>
      <c r="C123" s="5" t="s">
        <v>408</v>
      </c>
      <c r="D123" s="5" t="s">
        <v>409</v>
      </c>
      <c r="E123" s="5" t="s">
        <v>63</v>
      </c>
      <c r="F123" s="5" t="str">
        <f t="shared" si="8"/>
        <v>Rice</v>
      </c>
      <c r="G123" s="5" t="s">
        <v>256</v>
      </c>
      <c r="H123" s="5" t="s">
        <v>57</v>
      </c>
      <c r="I123" s="5" t="s">
        <v>58</v>
      </c>
      <c r="J123" s="6">
        <v>1</v>
      </c>
      <c r="K123" s="6">
        <v>27</v>
      </c>
      <c r="L123" s="6">
        <v>7350</v>
      </c>
      <c r="M123" s="6">
        <f t="shared" si="9"/>
        <v>198450</v>
      </c>
      <c r="N123" s="6">
        <v>0</v>
      </c>
      <c r="O123" s="6">
        <v>7000</v>
      </c>
      <c r="P123" s="6">
        <f t="shared" si="10"/>
        <v>189000</v>
      </c>
      <c r="Q123" s="6">
        <f t="shared" si="11"/>
        <v>9450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f t="shared" si="12"/>
        <v>0</v>
      </c>
      <c r="X123" s="6">
        <f t="shared" si="13"/>
        <v>0</v>
      </c>
      <c r="Y123" s="6">
        <v>0</v>
      </c>
      <c r="Z123" s="6">
        <f t="shared" si="14"/>
        <v>9450</v>
      </c>
      <c r="AA123" s="6" t="str">
        <f t="shared" si="15"/>
        <v xml:space="preserve"> Profit</v>
      </c>
      <c r="AB123" s="5" t="s">
        <v>410</v>
      </c>
      <c r="AC123" s="5" t="s">
        <v>411</v>
      </c>
      <c r="AD123" s="5" t="s">
        <v>412</v>
      </c>
      <c r="AE123" s="5" t="s">
        <v>43</v>
      </c>
      <c r="AF123" s="5" t="s">
        <v>263</v>
      </c>
      <c r="AG123" s="3">
        <v>45662</v>
      </c>
      <c r="AH123" s="3">
        <v>45668</v>
      </c>
    </row>
    <row r="124" spans="1:34" ht="12" customHeight="1">
      <c r="A124" s="3">
        <v>45688</v>
      </c>
      <c r="B124" s="5" t="s">
        <v>413</v>
      </c>
      <c r="C124" s="5" t="s">
        <v>414</v>
      </c>
      <c r="D124" s="5" t="s">
        <v>415</v>
      </c>
      <c r="E124" s="5" t="s">
        <v>397</v>
      </c>
      <c r="F124" s="5" t="str">
        <f t="shared" si="8"/>
        <v>Rice</v>
      </c>
      <c r="G124" s="5" t="s">
        <v>256</v>
      </c>
      <c r="H124" s="5" t="s">
        <v>57</v>
      </c>
      <c r="I124" s="5" t="s">
        <v>58</v>
      </c>
      <c r="J124" s="6">
        <v>1</v>
      </c>
      <c r="K124" s="6">
        <v>26</v>
      </c>
      <c r="L124" s="6">
        <v>7927.5</v>
      </c>
      <c r="M124" s="6">
        <f t="shared" si="9"/>
        <v>206115</v>
      </c>
      <c r="N124" s="6">
        <v>0</v>
      </c>
      <c r="O124" s="6">
        <v>7550</v>
      </c>
      <c r="P124" s="6">
        <f t="shared" si="10"/>
        <v>196300</v>
      </c>
      <c r="Q124" s="6">
        <f t="shared" si="11"/>
        <v>9815</v>
      </c>
      <c r="R124" s="6">
        <v>0</v>
      </c>
      <c r="S124" s="6">
        <v>0</v>
      </c>
      <c r="T124" s="6">
        <v>0</v>
      </c>
      <c r="U124" s="6">
        <v>0</v>
      </c>
      <c r="V124" s="6">
        <v>352.96</v>
      </c>
      <c r="W124" s="6">
        <f t="shared" si="12"/>
        <v>0</v>
      </c>
      <c r="X124" s="6">
        <f t="shared" si="13"/>
        <v>352.96</v>
      </c>
      <c r="Y124" s="6">
        <v>0</v>
      </c>
      <c r="Z124" s="6">
        <f t="shared" si="14"/>
        <v>9462.0400000000009</v>
      </c>
      <c r="AA124" s="6" t="str">
        <f t="shared" si="15"/>
        <v xml:space="preserve"> Profit</v>
      </c>
      <c r="AB124" s="5" t="s">
        <v>987</v>
      </c>
      <c r="AC124" s="5" t="s">
        <v>411</v>
      </c>
      <c r="AD124" s="5" t="s">
        <v>412</v>
      </c>
      <c r="AE124" s="5" t="s">
        <v>67</v>
      </c>
      <c r="AF124" s="5" t="s">
        <v>146</v>
      </c>
      <c r="AG124" s="3">
        <v>45692</v>
      </c>
      <c r="AH124" s="3">
        <v>45698</v>
      </c>
    </row>
    <row r="125" spans="1:34" ht="12" customHeight="1">
      <c r="A125" s="3">
        <v>45689</v>
      </c>
      <c r="B125" s="5" t="s">
        <v>417</v>
      </c>
      <c r="C125" s="5" t="s">
        <v>418</v>
      </c>
      <c r="D125" s="5" t="s">
        <v>419</v>
      </c>
      <c r="E125" s="5" t="s">
        <v>397</v>
      </c>
      <c r="F125" s="5" t="str">
        <f t="shared" si="8"/>
        <v>Rice</v>
      </c>
      <c r="G125" s="5" t="s">
        <v>86</v>
      </c>
      <c r="H125" s="5" t="s">
        <v>39</v>
      </c>
      <c r="I125" s="5" t="s">
        <v>80</v>
      </c>
      <c r="J125" s="6">
        <v>10</v>
      </c>
      <c r="K125" s="6">
        <v>270</v>
      </c>
      <c r="L125" s="6">
        <v>545.32799999999997</v>
      </c>
      <c r="M125" s="6">
        <f t="shared" si="9"/>
        <v>147238.56</v>
      </c>
      <c r="N125" s="6">
        <v>2464.3200000000002</v>
      </c>
      <c r="O125" s="6">
        <v>519.36</v>
      </c>
      <c r="P125" s="6">
        <f t="shared" si="10"/>
        <v>140227.20000000001</v>
      </c>
      <c r="Q125" s="6">
        <f t="shared" si="11"/>
        <v>7011.359999999986</v>
      </c>
      <c r="R125" s="6">
        <v>6040</v>
      </c>
      <c r="S125" s="6">
        <v>0</v>
      </c>
      <c r="T125" s="6">
        <v>0</v>
      </c>
      <c r="U125" s="6">
        <v>42.28</v>
      </c>
      <c r="V125" s="6">
        <v>352.96</v>
      </c>
      <c r="W125" s="6">
        <f t="shared" si="12"/>
        <v>2464.3200000000002</v>
      </c>
      <c r="X125" s="6">
        <f t="shared" si="13"/>
        <v>6435.24</v>
      </c>
      <c r="Y125" s="6">
        <v>0</v>
      </c>
      <c r="Z125" s="6">
        <f t="shared" si="14"/>
        <v>3040.4399999999864</v>
      </c>
      <c r="AA125" s="6" t="str">
        <f t="shared" si="15"/>
        <v xml:space="preserve"> Profit</v>
      </c>
      <c r="AB125" s="5" t="s">
        <v>420</v>
      </c>
      <c r="AC125" s="5" t="s">
        <v>42</v>
      </c>
      <c r="AD125" s="5" t="s">
        <v>43</v>
      </c>
      <c r="AE125" s="5" t="s">
        <v>44</v>
      </c>
      <c r="AF125" s="5" t="s">
        <v>45</v>
      </c>
      <c r="AG125" s="3">
        <v>45693</v>
      </c>
      <c r="AH125" s="3">
        <v>45699</v>
      </c>
    </row>
    <row r="126" spans="1:34" ht="12" customHeight="1">
      <c r="A126" s="3">
        <v>45691</v>
      </c>
      <c r="B126" s="5" t="s">
        <v>421</v>
      </c>
      <c r="C126" s="5" t="s">
        <v>422</v>
      </c>
      <c r="D126" s="5" t="s">
        <v>423</v>
      </c>
      <c r="E126" s="5" t="s">
        <v>397</v>
      </c>
      <c r="F126" s="5" t="str">
        <f t="shared" si="8"/>
        <v>Rice</v>
      </c>
      <c r="G126" s="5" t="s">
        <v>38</v>
      </c>
      <c r="H126" s="5" t="s">
        <v>39</v>
      </c>
      <c r="I126" s="5" t="s">
        <v>80</v>
      </c>
      <c r="J126" s="6">
        <v>10</v>
      </c>
      <c r="K126" s="6">
        <v>270</v>
      </c>
      <c r="L126" s="6">
        <v>552.29999999999995</v>
      </c>
      <c r="M126" s="6">
        <f t="shared" si="9"/>
        <v>149121</v>
      </c>
      <c r="N126" s="6">
        <v>2195.8641600000001</v>
      </c>
      <c r="O126" s="6">
        <v>526</v>
      </c>
      <c r="P126" s="6">
        <f t="shared" si="10"/>
        <v>142020</v>
      </c>
      <c r="Q126" s="6">
        <f t="shared" si="11"/>
        <v>7101</v>
      </c>
      <c r="R126" s="6">
        <v>5382.02</v>
      </c>
      <c r="S126" s="6">
        <v>0</v>
      </c>
      <c r="T126" s="6">
        <v>0</v>
      </c>
      <c r="U126" s="6">
        <v>37.674100000000003</v>
      </c>
      <c r="V126" s="6">
        <v>320.97000000000003</v>
      </c>
      <c r="W126" s="6">
        <f t="shared" si="12"/>
        <v>2195.8641600000001</v>
      </c>
      <c r="X126" s="6">
        <f t="shared" si="13"/>
        <v>5740.6641000000009</v>
      </c>
      <c r="Y126" s="6">
        <v>0</v>
      </c>
      <c r="Z126" s="6">
        <f t="shared" si="14"/>
        <v>3556.2000599999992</v>
      </c>
      <c r="AA126" s="6" t="str">
        <f t="shared" si="15"/>
        <v xml:space="preserve"> Profit</v>
      </c>
      <c r="AB126" s="5" t="s">
        <v>988</v>
      </c>
      <c r="AC126" s="5" t="s">
        <v>42</v>
      </c>
      <c r="AD126" s="5" t="s">
        <v>43</v>
      </c>
      <c r="AE126" s="5" t="s">
        <v>44</v>
      </c>
      <c r="AF126" s="5" t="s">
        <v>45</v>
      </c>
      <c r="AG126" s="3">
        <v>45695</v>
      </c>
      <c r="AH126" s="3">
        <v>45701</v>
      </c>
    </row>
    <row r="127" spans="1:34" ht="12" customHeight="1">
      <c r="A127" s="3">
        <v>45697</v>
      </c>
      <c r="B127" s="5" t="s">
        <v>425</v>
      </c>
      <c r="C127" s="5" t="s">
        <v>422</v>
      </c>
      <c r="D127" s="5" t="s">
        <v>426</v>
      </c>
      <c r="E127" s="5" t="s">
        <v>37</v>
      </c>
      <c r="F127" s="5" t="str">
        <f t="shared" si="8"/>
        <v>Sugar</v>
      </c>
      <c r="G127" s="5" t="s">
        <v>39</v>
      </c>
      <c r="H127" s="5" t="s">
        <v>39</v>
      </c>
      <c r="I127" s="5" t="s">
        <v>80</v>
      </c>
      <c r="J127" s="6">
        <v>10</v>
      </c>
      <c r="K127" s="6">
        <v>270</v>
      </c>
      <c r="L127" s="6">
        <v>535.5</v>
      </c>
      <c r="M127" s="6">
        <f t="shared" si="9"/>
        <v>144585</v>
      </c>
      <c r="N127" s="6">
        <v>2044.692</v>
      </c>
      <c r="O127" s="6">
        <v>510</v>
      </c>
      <c r="P127" s="6">
        <f t="shared" si="10"/>
        <v>137700</v>
      </c>
      <c r="Q127" s="6">
        <f t="shared" si="11"/>
        <v>6885</v>
      </c>
      <c r="R127" s="6">
        <v>5011.5</v>
      </c>
      <c r="S127" s="6">
        <v>0</v>
      </c>
      <c r="T127" s="6">
        <v>0</v>
      </c>
      <c r="U127" s="6">
        <v>35.080500000000001</v>
      </c>
      <c r="V127" s="6">
        <v>35.729999999999997</v>
      </c>
      <c r="W127" s="6">
        <f t="shared" si="12"/>
        <v>2044.692</v>
      </c>
      <c r="X127" s="6">
        <f t="shared" si="13"/>
        <v>5082.3104999999996</v>
      </c>
      <c r="Y127" s="6">
        <v>0</v>
      </c>
      <c r="Z127" s="6">
        <f t="shared" si="14"/>
        <v>3847.3815000000004</v>
      </c>
      <c r="AA127" s="6" t="str">
        <f t="shared" si="15"/>
        <v xml:space="preserve"> Profit</v>
      </c>
      <c r="AB127" s="5" t="s">
        <v>427</v>
      </c>
      <c r="AC127" s="5" t="s">
        <v>42</v>
      </c>
      <c r="AD127" s="5" t="s">
        <v>43</v>
      </c>
      <c r="AE127" s="5" t="s">
        <v>44</v>
      </c>
      <c r="AF127" s="5" t="s">
        <v>45</v>
      </c>
      <c r="AG127" s="3">
        <v>45701</v>
      </c>
      <c r="AH127" s="3">
        <v>45707</v>
      </c>
    </row>
    <row r="128" spans="1:34" ht="12" customHeight="1">
      <c r="A128" s="3">
        <v>45699</v>
      </c>
      <c r="B128" s="5" t="s">
        <v>428</v>
      </c>
      <c r="C128" s="5" t="s">
        <v>429</v>
      </c>
      <c r="D128" s="5" t="s">
        <v>426</v>
      </c>
      <c r="E128" s="5" t="s">
        <v>63</v>
      </c>
      <c r="F128" s="5" t="str">
        <f t="shared" si="8"/>
        <v>Rice</v>
      </c>
      <c r="G128" s="5" t="s">
        <v>38</v>
      </c>
      <c r="H128" s="5" t="s">
        <v>39</v>
      </c>
      <c r="I128" s="5" t="s">
        <v>80</v>
      </c>
      <c r="J128" s="6">
        <v>10</v>
      </c>
      <c r="K128" s="6">
        <v>270</v>
      </c>
      <c r="L128" s="6">
        <v>537.39</v>
      </c>
      <c r="M128" s="6">
        <f t="shared" si="9"/>
        <v>145095.29999999999</v>
      </c>
      <c r="N128" s="6">
        <v>1957.2739200000001</v>
      </c>
      <c r="O128" s="6">
        <v>511.8</v>
      </c>
      <c r="P128" s="6">
        <f t="shared" si="10"/>
        <v>138186</v>
      </c>
      <c r="Q128" s="6">
        <f t="shared" si="11"/>
        <v>6909.2999999999884</v>
      </c>
      <c r="R128" s="6">
        <v>4797.24</v>
      </c>
      <c r="S128" s="6">
        <v>0</v>
      </c>
      <c r="T128" s="6">
        <v>0</v>
      </c>
      <c r="U128" s="6">
        <v>33.5807</v>
      </c>
      <c r="V128" s="6">
        <v>31.5</v>
      </c>
      <c r="W128" s="6">
        <f t="shared" si="12"/>
        <v>1957.2739200000001</v>
      </c>
      <c r="X128" s="6">
        <f t="shared" si="13"/>
        <v>4862.3207000000002</v>
      </c>
      <c r="Y128" s="6">
        <v>0</v>
      </c>
      <c r="Z128" s="6">
        <f t="shared" si="14"/>
        <v>4004.2532199999882</v>
      </c>
      <c r="AA128" s="6" t="str">
        <f t="shared" si="15"/>
        <v xml:space="preserve"> Profit</v>
      </c>
      <c r="AB128" s="5" t="s">
        <v>989</v>
      </c>
      <c r="AC128" s="5" t="s">
        <v>42</v>
      </c>
      <c r="AD128" s="5" t="s">
        <v>43</v>
      </c>
      <c r="AE128" s="5" t="s">
        <v>44</v>
      </c>
      <c r="AF128" s="5" t="s">
        <v>45</v>
      </c>
      <c r="AG128" s="3">
        <v>45703</v>
      </c>
      <c r="AH128" s="3">
        <v>45709</v>
      </c>
    </row>
    <row r="129" spans="1:34" ht="12" customHeight="1">
      <c r="A129" s="3">
        <v>45700</v>
      </c>
      <c r="B129" s="5" t="s">
        <v>430</v>
      </c>
      <c r="C129" s="5" t="s">
        <v>431</v>
      </c>
      <c r="D129" s="5" t="s">
        <v>426</v>
      </c>
      <c r="E129" s="5" t="s">
        <v>37</v>
      </c>
      <c r="F129" s="5" t="str">
        <f t="shared" si="8"/>
        <v>Sugar</v>
      </c>
      <c r="G129" s="5" t="s">
        <v>39</v>
      </c>
      <c r="H129" s="5" t="s">
        <v>39</v>
      </c>
      <c r="I129" s="5" t="s">
        <v>80</v>
      </c>
      <c r="J129" s="6">
        <v>10</v>
      </c>
      <c r="K129" s="6">
        <v>270</v>
      </c>
      <c r="L129" s="6">
        <v>525.55650000000003</v>
      </c>
      <c r="M129" s="6">
        <f t="shared" si="9"/>
        <v>141900.255</v>
      </c>
      <c r="N129" s="6">
        <v>1957.2739200000001</v>
      </c>
      <c r="O129" s="6">
        <v>500.53</v>
      </c>
      <c r="P129" s="6">
        <f t="shared" si="10"/>
        <v>135143.1</v>
      </c>
      <c r="Q129" s="6">
        <f t="shared" si="11"/>
        <v>6757.1549999999988</v>
      </c>
      <c r="R129" s="6">
        <v>4797.24</v>
      </c>
      <c r="S129" s="6">
        <v>0</v>
      </c>
      <c r="T129" s="6">
        <v>0</v>
      </c>
      <c r="U129" s="6">
        <v>33.5807</v>
      </c>
      <c r="V129" s="6">
        <v>35.729999999999997</v>
      </c>
      <c r="W129" s="6">
        <f t="shared" si="12"/>
        <v>1957.2739200000001</v>
      </c>
      <c r="X129" s="6">
        <f t="shared" si="13"/>
        <v>4866.5506999999998</v>
      </c>
      <c r="Y129" s="6">
        <v>0</v>
      </c>
      <c r="Z129" s="6">
        <f t="shared" si="14"/>
        <v>3847.8782199999991</v>
      </c>
      <c r="AA129" s="6" t="str">
        <f t="shared" si="15"/>
        <v xml:space="preserve"> Profit</v>
      </c>
      <c r="AB129" s="5" t="s">
        <v>432</v>
      </c>
      <c r="AC129" s="5" t="s">
        <v>42</v>
      </c>
      <c r="AD129" s="5" t="s">
        <v>43</v>
      </c>
      <c r="AE129" s="5" t="s">
        <v>44</v>
      </c>
      <c r="AF129" s="5" t="s">
        <v>45</v>
      </c>
      <c r="AG129" s="3">
        <v>45704</v>
      </c>
      <c r="AH129" s="3">
        <v>45710</v>
      </c>
    </row>
    <row r="130" spans="1:34" ht="12" customHeight="1">
      <c r="A130" s="3">
        <v>45701</v>
      </c>
      <c r="B130" s="5" t="s">
        <v>433</v>
      </c>
      <c r="C130" s="5" t="s">
        <v>434</v>
      </c>
      <c r="D130" s="5" t="s">
        <v>426</v>
      </c>
      <c r="E130" s="5" t="s">
        <v>37</v>
      </c>
      <c r="F130" s="5" t="str">
        <f t="shared" ref="F130:F193" si="16">IF(ISNUMBER(SEARCH("Rice",E130)),"Rice",IF(ISNUMBER(SEARCH("Basmati",E130)),"Rice",IF(ISNUMBER(SEARCH("Sugar",E130)),"Sugar",IF(ISNUMBER(SEARCH("Lentils",E130)),"Lentils",IF(ISNUMBER(SEARCH("Masoor",E130)),"Lentils",IF(ISNUMBER(SEARCH("Cloves",E130)),"Cloves",IF(ISNUMBER(SEARCH("Sunflower",E130)),"Sunflower","Other")))))))</f>
        <v>Sugar</v>
      </c>
      <c r="G130" s="5" t="s">
        <v>256</v>
      </c>
      <c r="H130" s="5" t="s">
        <v>39</v>
      </c>
      <c r="I130" s="5" t="s">
        <v>80</v>
      </c>
      <c r="J130" s="6">
        <v>10</v>
      </c>
      <c r="K130" s="6">
        <v>270</v>
      </c>
      <c r="L130" s="6">
        <v>525.55650000000003</v>
      </c>
      <c r="M130" s="6">
        <f t="shared" ref="M130:M193" si="17">L130*K130</f>
        <v>141900.255</v>
      </c>
      <c r="N130" s="6">
        <v>1957.2739200000001</v>
      </c>
      <c r="O130" s="6">
        <v>500.53</v>
      </c>
      <c r="P130" s="6">
        <f t="shared" ref="P130:P193" si="18">K130*O130</f>
        <v>135143.1</v>
      </c>
      <c r="Q130" s="6">
        <f t="shared" ref="Q130:Q193" si="19">M130-P130</f>
        <v>6757.1549999999988</v>
      </c>
      <c r="R130" s="6">
        <v>4797.24</v>
      </c>
      <c r="S130" s="6">
        <v>0</v>
      </c>
      <c r="T130" s="6">
        <v>0</v>
      </c>
      <c r="U130" s="6">
        <v>33.5807</v>
      </c>
      <c r="V130" s="6">
        <v>508.8349</v>
      </c>
      <c r="W130" s="6">
        <f t="shared" ref="W130:W193" si="20">N130+Y130</f>
        <v>1957.2739200000001</v>
      </c>
      <c r="X130" s="6">
        <f t="shared" ref="X130:X193" si="21">R130+S130+T130+U130+V130</f>
        <v>5339.6556</v>
      </c>
      <c r="Y130" s="6">
        <v>0</v>
      </c>
      <c r="Z130" s="6">
        <f t="shared" ref="Z130:Z193" si="22">Q130-X130+W130</f>
        <v>3374.7733199999989</v>
      </c>
      <c r="AA130" s="6" t="str">
        <f t="shared" ref="AA130:AA193" si="23">IF(Z130&gt;=0," Profit", " Loss")</f>
        <v xml:space="preserve"> Profit</v>
      </c>
      <c r="AB130" s="5" t="s">
        <v>990</v>
      </c>
      <c r="AC130" s="5" t="s">
        <v>77</v>
      </c>
      <c r="AD130" s="5" t="s">
        <v>67</v>
      </c>
      <c r="AE130" s="5" t="s">
        <v>44</v>
      </c>
      <c r="AF130" s="5" t="s">
        <v>45</v>
      </c>
      <c r="AG130" s="3">
        <v>45705</v>
      </c>
      <c r="AH130" s="3">
        <v>45711</v>
      </c>
    </row>
    <row r="131" spans="1:34" ht="12" customHeight="1">
      <c r="A131" s="3">
        <v>45703</v>
      </c>
      <c r="B131" s="5" t="s">
        <v>436</v>
      </c>
      <c r="C131" s="5" t="s">
        <v>437</v>
      </c>
      <c r="D131" s="5" t="s">
        <v>426</v>
      </c>
      <c r="E131" s="5" t="s">
        <v>37</v>
      </c>
      <c r="F131" s="5" t="str">
        <f t="shared" si="16"/>
        <v>Sugar</v>
      </c>
      <c r="G131" s="5" t="s">
        <v>49</v>
      </c>
      <c r="H131" s="5" t="s">
        <v>39</v>
      </c>
      <c r="I131" s="5" t="s">
        <v>80</v>
      </c>
      <c r="J131" s="6">
        <v>20</v>
      </c>
      <c r="K131" s="6">
        <v>280</v>
      </c>
      <c r="L131" s="6">
        <v>515.02499999999998</v>
      </c>
      <c r="M131" s="6">
        <f t="shared" si="17"/>
        <v>144207</v>
      </c>
      <c r="N131" s="6">
        <v>6154.1527619999997</v>
      </c>
      <c r="O131" s="6">
        <v>490.5</v>
      </c>
      <c r="P131" s="6">
        <f t="shared" si="18"/>
        <v>137340</v>
      </c>
      <c r="Q131" s="6">
        <f t="shared" si="19"/>
        <v>6867</v>
      </c>
      <c r="R131" s="6">
        <v>15083.7076</v>
      </c>
      <c r="S131" s="6">
        <v>0</v>
      </c>
      <c r="T131" s="6">
        <v>0</v>
      </c>
      <c r="U131" s="6">
        <v>105.586</v>
      </c>
      <c r="V131" s="6">
        <v>36.5</v>
      </c>
      <c r="W131" s="6">
        <f t="shared" si="20"/>
        <v>6154.1527619999997</v>
      </c>
      <c r="X131" s="6">
        <f t="shared" si="21"/>
        <v>15225.793599999999</v>
      </c>
      <c r="Y131" s="6">
        <v>0</v>
      </c>
      <c r="Z131" s="6">
        <f t="shared" si="22"/>
        <v>-2204.6408379999993</v>
      </c>
      <c r="AA131" s="6" t="str">
        <f t="shared" si="23"/>
        <v xml:space="preserve"> Loss</v>
      </c>
      <c r="AB131" s="5" t="s">
        <v>438</v>
      </c>
      <c r="AC131" s="5" t="s">
        <v>82</v>
      </c>
      <c r="AD131" s="5" t="s">
        <v>43</v>
      </c>
      <c r="AE131" s="5" t="s">
        <v>185</v>
      </c>
      <c r="AF131" s="5" t="s">
        <v>185</v>
      </c>
      <c r="AG131" s="3">
        <v>45707</v>
      </c>
      <c r="AH131" s="3">
        <v>45713</v>
      </c>
    </row>
    <row r="132" spans="1:34" ht="12" customHeight="1">
      <c r="A132" s="3">
        <v>45704</v>
      </c>
      <c r="B132" s="5" t="s">
        <v>439</v>
      </c>
      <c r="C132" s="5" t="s">
        <v>440</v>
      </c>
      <c r="D132" s="5" t="s">
        <v>426</v>
      </c>
      <c r="E132" s="5" t="s">
        <v>63</v>
      </c>
      <c r="F132" s="5" t="str">
        <f t="shared" si="16"/>
        <v>Rice</v>
      </c>
      <c r="G132" s="5" t="s">
        <v>38</v>
      </c>
      <c r="H132" s="5" t="s">
        <v>39</v>
      </c>
      <c r="I132" s="5" t="s">
        <v>80</v>
      </c>
      <c r="J132" s="6">
        <v>10</v>
      </c>
      <c r="K132" s="6">
        <v>270</v>
      </c>
      <c r="L132" s="6">
        <v>535.5</v>
      </c>
      <c r="M132" s="6">
        <f t="shared" si="17"/>
        <v>144585</v>
      </c>
      <c r="N132" s="6">
        <v>897.6</v>
      </c>
      <c r="O132" s="6">
        <v>510</v>
      </c>
      <c r="P132" s="6">
        <f t="shared" si="18"/>
        <v>137700</v>
      </c>
      <c r="Q132" s="6">
        <f t="shared" si="19"/>
        <v>6885</v>
      </c>
      <c r="R132" s="6">
        <v>2200</v>
      </c>
      <c r="S132" s="6">
        <v>0</v>
      </c>
      <c r="T132" s="6">
        <v>0</v>
      </c>
      <c r="U132" s="6">
        <v>15.4</v>
      </c>
      <c r="V132" s="6">
        <v>335.73</v>
      </c>
      <c r="W132" s="6">
        <f t="shared" si="20"/>
        <v>897.6</v>
      </c>
      <c r="X132" s="6">
        <f t="shared" si="21"/>
        <v>2551.13</v>
      </c>
      <c r="Y132" s="6">
        <v>0</v>
      </c>
      <c r="Z132" s="6">
        <f t="shared" si="22"/>
        <v>5231.47</v>
      </c>
      <c r="AA132" s="6" t="str">
        <f t="shared" si="23"/>
        <v xml:space="preserve"> Profit</v>
      </c>
      <c r="AB132" s="5" t="s">
        <v>424</v>
      </c>
      <c r="AC132" s="5" t="s">
        <v>82</v>
      </c>
      <c r="AD132" s="5" t="s">
        <v>88</v>
      </c>
      <c r="AE132" s="5" t="s">
        <v>114</v>
      </c>
      <c r="AF132" s="5" t="s">
        <v>115</v>
      </c>
      <c r="AG132" s="3">
        <v>45708</v>
      </c>
      <c r="AH132" s="3">
        <v>45714</v>
      </c>
    </row>
    <row r="133" spans="1:34" ht="12" customHeight="1">
      <c r="A133" s="3">
        <v>45705</v>
      </c>
      <c r="B133" s="5" t="s">
        <v>441</v>
      </c>
      <c r="C133" s="5" t="s">
        <v>434</v>
      </c>
      <c r="D133" s="5" t="s">
        <v>426</v>
      </c>
      <c r="E133" s="5" t="s">
        <v>37</v>
      </c>
      <c r="F133" s="5" t="str">
        <f t="shared" si="16"/>
        <v>Sugar</v>
      </c>
      <c r="G133" s="5" t="s">
        <v>256</v>
      </c>
      <c r="H133" s="5" t="s">
        <v>39</v>
      </c>
      <c r="I133" s="5" t="s">
        <v>80</v>
      </c>
      <c r="J133" s="6">
        <v>10</v>
      </c>
      <c r="K133" s="6">
        <v>270</v>
      </c>
      <c r="L133" s="6">
        <v>545.32799999999997</v>
      </c>
      <c r="M133" s="6">
        <f t="shared" si="17"/>
        <v>147238.56</v>
      </c>
      <c r="N133" s="6">
        <v>1957.13112</v>
      </c>
      <c r="O133" s="6">
        <v>519.36</v>
      </c>
      <c r="P133" s="6">
        <f t="shared" si="18"/>
        <v>140227.20000000001</v>
      </c>
      <c r="Q133" s="6">
        <f t="shared" si="19"/>
        <v>7011.359999999986</v>
      </c>
      <c r="R133" s="6">
        <v>4796.8900000000003</v>
      </c>
      <c r="S133" s="6">
        <v>0</v>
      </c>
      <c r="T133" s="6">
        <v>0</v>
      </c>
      <c r="U133" s="6">
        <v>33.578200000000002</v>
      </c>
      <c r="V133" s="6">
        <v>544.56489999999997</v>
      </c>
      <c r="W133" s="6">
        <f t="shared" si="20"/>
        <v>1957.13112</v>
      </c>
      <c r="X133" s="6">
        <f t="shared" si="21"/>
        <v>5375.0331000000006</v>
      </c>
      <c r="Y133" s="6">
        <v>0</v>
      </c>
      <c r="Z133" s="6">
        <f t="shared" si="22"/>
        <v>3593.4580199999855</v>
      </c>
      <c r="AA133" s="6" t="str">
        <f t="shared" si="23"/>
        <v xml:space="preserve"> Profit</v>
      </c>
      <c r="AB133" s="5" t="s">
        <v>435</v>
      </c>
      <c r="AC133" s="5" t="s">
        <v>82</v>
      </c>
      <c r="AD133" s="5" t="s">
        <v>88</v>
      </c>
      <c r="AE133" s="5" t="s">
        <v>114</v>
      </c>
      <c r="AF133" s="5" t="s">
        <v>115</v>
      </c>
      <c r="AG133" s="3">
        <v>45709</v>
      </c>
      <c r="AH133" s="3">
        <v>45715</v>
      </c>
    </row>
    <row r="134" spans="1:34" ht="12" customHeight="1">
      <c r="A134" s="3">
        <v>45706</v>
      </c>
      <c r="B134" s="5" t="s">
        <v>442</v>
      </c>
      <c r="C134" s="5" t="s">
        <v>443</v>
      </c>
      <c r="D134" s="5" t="s">
        <v>426</v>
      </c>
      <c r="E134" s="5" t="s">
        <v>63</v>
      </c>
      <c r="F134" s="5" t="str">
        <f t="shared" si="16"/>
        <v>Rice</v>
      </c>
      <c r="G134" s="5" t="s">
        <v>38</v>
      </c>
      <c r="H134" s="5" t="s">
        <v>444</v>
      </c>
      <c r="I134" s="5" t="s">
        <v>40</v>
      </c>
      <c r="J134" s="6">
        <v>20</v>
      </c>
      <c r="K134" s="6">
        <v>520</v>
      </c>
      <c r="L134" s="6">
        <v>463.05</v>
      </c>
      <c r="M134" s="6">
        <f t="shared" si="17"/>
        <v>240786</v>
      </c>
      <c r="N134" s="6">
        <v>9098.4</v>
      </c>
      <c r="O134" s="6">
        <v>441</v>
      </c>
      <c r="P134" s="6">
        <f t="shared" si="18"/>
        <v>229320</v>
      </c>
      <c r="Q134" s="6">
        <f t="shared" si="19"/>
        <v>11466</v>
      </c>
      <c r="R134" s="6">
        <v>22300</v>
      </c>
      <c r="S134" s="6">
        <v>1784</v>
      </c>
      <c r="T134" s="6">
        <v>0</v>
      </c>
      <c r="U134" s="6">
        <v>156.1</v>
      </c>
      <c r="V134" s="6">
        <v>0</v>
      </c>
      <c r="W134" s="6">
        <f t="shared" si="20"/>
        <v>9098.4</v>
      </c>
      <c r="X134" s="6">
        <f t="shared" si="21"/>
        <v>24240.1</v>
      </c>
      <c r="Y134" s="6">
        <v>0</v>
      </c>
      <c r="Z134" s="6">
        <f t="shared" si="22"/>
        <v>-3675.6999999999989</v>
      </c>
      <c r="AA134" s="6" t="str">
        <f t="shared" si="23"/>
        <v xml:space="preserve"> Loss</v>
      </c>
      <c r="AB134" s="5" t="s">
        <v>445</v>
      </c>
      <c r="AC134" s="5" t="s">
        <v>82</v>
      </c>
      <c r="AD134" s="5" t="s">
        <v>88</v>
      </c>
      <c r="AE134" s="5" t="s">
        <v>114</v>
      </c>
      <c r="AF134" s="5" t="s">
        <v>115</v>
      </c>
      <c r="AG134" s="3">
        <v>45710</v>
      </c>
      <c r="AH134" s="3">
        <v>45716</v>
      </c>
    </row>
    <row r="135" spans="1:34" ht="12" customHeight="1">
      <c r="A135" s="3">
        <v>45707</v>
      </c>
      <c r="B135" s="5" t="s">
        <v>446</v>
      </c>
      <c r="C135" s="5" t="s">
        <v>443</v>
      </c>
      <c r="D135" s="5" t="s">
        <v>426</v>
      </c>
      <c r="E135" s="5" t="s">
        <v>63</v>
      </c>
      <c r="F135" s="5" t="str">
        <f t="shared" si="16"/>
        <v>Rice</v>
      </c>
      <c r="G135" s="5" t="s">
        <v>38</v>
      </c>
      <c r="H135" s="5" t="s">
        <v>444</v>
      </c>
      <c r="I135" s="5" t="s">
        <v>40</v>
      </c>
      <c r="J135" s="6">
        <v>55</v>
      </c>
      <c r="K135" s="6">
        <v>1430</v>
      </c>
      <c r="L135" s="6">
        <v>462</v>
      </c>
      <c r="M135" s="6">
        <f t="shared" si="17"/>
        <v>660660</v>
      </c>
      <c r="N135" s="6">
        <v>25357.200000000001</v>
      </c>
      <c r="O135" s="6">
        <v>440</v>
      </c>
      <c r="P135" s="6">
        <f t="shared" si="18"/>
        <v>629200</v>
      </c>
      <c r="Q135" s="6">
        <f t="shared" si="19"/>
        <v>31460</v>
      </c>
      <c r="R135" s="6">
        <v>62150</v>
      </c>
      <c r="S135" s="6">
        <v>4972</v>
      </c>
      <c r="T135" s="6">
        <v>0</v>
      </c>
      <c r="U135" s="6">
        <v>435.05</v>
      </c>
      <c r="V135" s="6">
        <v>-4.5</v>
      </c>
      <c r="W135" s="6">
        <f t="shared" si="20"/>
        <v>25357.200000000001</v>
      </c>
      <c r="X135" s="6">
        <f t="shared" si="21"/>
        <v>67552.55</v>
      </c>
      <c r="Y135" s="6">
        <v>0</v>
      </c>
      <c r="Z135" s="6">
        <f t="shared" si="22"/>
        <v>-10735.350000000002</v>
      </c>
      <c r="AA135" s="6" t="str">
        <f t="shared" si="23"/>
        <v xml:space="preserve"> Loss</v>
      </c>
      <c r="AB135" s="5" t="s">
        <v>991</v>
      </c>
      <c r="AC135" s="5" t="s">
        <v>82</v>
      </c>
      <c r="AD135" s="5" t="s">
        <v>88</v>
      </c>
      <c r="AE135" s="5" t="s">
        <v>114</v>
      </c>
      <c r="AF135" s="5" t="s">
        <v>115</v>
      </c>
      <c r="AG135" s="3">
        <v>45711</v>
      </c>
      <c r="AH135" s="3">
        <v>45717</v>
      </c>
    </row>
    <row r="136" spans="1:34" ht="12" customHeight="1">
      <c r="A136" s="3">
        <v>45708</v>
      </c>
      <c r="B136" s="5" t="s">
        <v>448</v>
      </c>
      <c r="C136" s="5" t="s">
        <v>449</v>
      </c>
      <c r="D136" s="5" t="s">
        <v>415</v>
      </c>
      <c r="E136" s="5" t="s">
        <v>63</v>
      </c>
      <c r="F136" s="5" t="str">
        <f t="shared" si="16"/>
        <v>Rice</v>
      </c>
      <c r="G136" s="5" t="s">
        <v>49</v>
      </c>
      <c r="H136" s="5" t="s">
        <v>444</v>
      </c>
      <c r="I136" s="5" t="s">
        <v>40</v>
      </c>
      <c r="J136" s="6">
        <v>2</v>
      </c>
      <c r="K136" s="6">
        <v>44</v>
      </c>
      <c r="L136" s="6">
        <v>929.25</v>
      </c>
      <c r="M136" s="6">
        <f t="shared" si="17"/>
        <v>40887</v>
      </c>
      <c r="N136" s="6">
        <v>728.51347799999996</v>
      </c>
      <c r="O136" s="6">
        <v>885</v>
      </c>
      <c r="P136" s="6">
        <f t="shared" si="18"/>
        <v>38940</v>
      </c>
      <c r="Q136" s="6">
        <f t="shared" si="19"/>
        <v>1947</v>
      </c>
      <c r="R136" s="6">
        <v>1785.5723</v>
      </c>
      <c r="S136" s="6">
        <v>142.8458</v>
      </c>
      <c r="T136" s="6">
        <v>0</v>
      </c>
      <c r="U136" s="6">
        <v>12.499000000000001</v>
      </c>
      <c r="V136" s="6">
        <v>0</v>
      </c>
      <c r="W136" s="6">
        <f t="shared" si="20"/>
        <v>728.51347799999996</v>
      </c>
      <c r="X136" s="6">
        <f t="shared" si="21"/>
        <v>1940.9171000000001</v>
      </c>
      <c r="Y136" s="6">
        <v>0</v>
      </c>
      <c r="Z136" s="6">
        <f t="shared" si="22"/>
        <v>734.59637799999985</v>
      </c>
      <c r="AA136" s="6" t="str">
        <f t="shared" si="23"/>
        <v xml:space="preserve"> Profit</v>
      </c>
      <c r="AB136" s="5" t="s">
        <v>447</v>
      </c>
      <c r="AC136" s="5" t="s">
        <v>82</v>
      </c>
      <c r="AD136" s="5" t="s">
        <v>43</v>
      </c>
      <c r="AE136" s="5" t="s">
        <v>185</v>
      </c>
      <c r="AF136" s="5" t="s">
        <v>185</v>
      </c>
      <c r="AG136" s="3">
        <v>45712</v>
      </c>
      <c r="AH136" s="3">
        <v>45718</v>
      </c>
    </row>
    <row r="137" spans="1:34" ht="12" customHeight="1">
      <c r="A137" s="3">
        <v>45709</v>
      </c>
      <c r="B137" s="5" t="s">
        <v>450</v>
      </c>
      <c r="C137" s="5" t="s">
        <v>451</v>
      </c>
      <c r="D137" s="5" t="s">
        <v>415</v>
      </c>
      <c r="E137" s="5" t="s">
        <v>63</v>
      </c>
      <c r="F137" s="5" t="str">
        <f t="shared" si="16"/>
        <v>Rice</v>
      </c>
      <c r="G137" s="5" t="s">
        <v>49</v>
      </c>
      <c r="H137" s="5" t="s">
        <v>444</v>
      </c>
      <c r="I137" s="5" t="s">
        <v>40</v>
      </c>
      <c r="J137" s="6">
        <v>10</v>
      </c>
      <c r="K137" s="6">
        <v>260</v>
      </c>
      <c r="L137" s="6">
        <v>441</v>
      </c>
      <c r="M137" s="6">
        <f t="shared" si="17"/>
        <v>114660</v>
      </c>
      <c r="N137" s="6">
        <v>2937.944352</v>
      </c>
      <c r="O137" s="6">
        <v>420</v>
      </c>
      <c r="P137" s="6">
        <f t="shared" si="18"/>
        <v>109200</v>
      </c>
      <c r="Q137" s="6">
        <f t="shared" si="19"/>
        <v>5460</v>
      </c>
      <c r="R137" s="6">
        <v>7200.8438999999998</v>
      </c>
      <c r="S137" s="6">
        <v>576.0675</v>
      </c>
      <c r="T137" s="6">
        <v>0</v>
      </c>
      <c r="U137" s="6">
        <v>50.405900000000003</v>
      </c>
      <c r="V137" s="6">
        <v>90.5</v>
      </c>
      <c r="W137" s="6">
        <f t="shared" si="20"/>
        <v>2937.944352</v>
      </c>
      <c r="X137" s="6">
        <f t="shared" si="21"/>
        <v>7917.8172999999997</v>
      </c>
      <c r="Y137" s="6">
        <v>0</v>
      </c>
      <c r="Z137" s="6">
        <f t="shared" si="22"/>
        <v>480.12705200000028</v>
      </c>
      <c r="AA137" s="6" t="str">
        <f t="shared" si="23"/>
        <v xml:space="preserve"> Profit</v>
      </c>
      <c r="AB137" s="5" t="s">
        <v>992</v>
      </c>
      <c r="AC137" s="5" t="s">
        <v>77</v>
      </c>
      <c r="AD137" s="5" t="s">
        <v>67</v>
      </c>
      <c r="AE137" s="5" t="s">
        <v>44</v>
      </c>
      <c r="AF137" s="5" t="s">
        <v>45</v>
      </c>
      <c r="AG137" s="3">
        <v>45713</v>
      </c>
      <c r="AH137" s="3">
        <v>45719</v>
      </c>
    </row>
    <row r="138" spans="1:34" ht="12" customHeight="1">
      <c r="A138" s="3">
        <v>45710</v>
      </c>
      <c r="B138" s="5" t="s">
        <v>453</v>
      </c>
      <c r="C138" s="5" t="s">
        <v>454</v>
      </c>
      <c r="D138" s="5" t="s">
        <v>415</v>
      </c>
      <c r="E138" s="5" t="s">
        <v>63</v>
      </c>
      <c r="F138" s="5" t="str">
        <f t="shared" si="16"/>
        <v>Rice</v>
      </c>
      <c r="G138" s="5" t="s">
        <v>49</v>
      </c>
      <c r="H138" s="5" t="s">
        <v>444</v>
      </c>
      <c r="I138" s="5" t="s">
        <v>40</v>
      </c>
      <c r="J138" s="6">
        <v>5</v>
      </c>
      <c r="K138" s="6">
        <v>125</v>
      </c>
      <c r="L138" s="6">
        <v>593.25</v>
      </c>
      <c r="M138" s="6">
        <f t="shared" si="17"/>
        <v>74156.25</v>
      </c>
      <c r="N138" s="6">
        <v>1380.380586</v>
      </c>
      <c r="O138" s="6">
        <v>565</v>
      </c>
      <c r="P138" s="6">
        <f t="shared" si="18"/>
        <v>70625</v>
      </c>
      <c r="Q138" s="6">
        <f t="shared" si="19"/>
        <v>3531.25</v>
      </c>
      <c r="R138" s="6">
        <v>3383.2856999999999</v>
      </c>
      <c r="S138" s="6">
        <v>270.66289999999998</v>
      </c>
      <c r="T138" s="6">
        <v>0</v>
      </c>
      <c r="U138" s="6">
        <v>23.683</v>
      </c>
      <c r="V138" s="6">
        <v>7.15</v>
      </c>
      <c r="W138" s="6">
        <f t="shared" si="20"/>
        <v>1380.380586</v>
      </c>
      <c r="X138" s="6">
        <f t="shared" si="21"/>
        <v>3684.7815999999998</v>
      </c>
      <c r="Y138" s="6">
        <v>0</v>
      </c>
      <c r="Z138" s="6">
        <f t="shared" si="22"/>
        <v>1226.8489860000002</v>
      </c>
      <c r="AA138" s="6" t="str">
        <f t="shared" si="23"/>
        <v xml:space="preserve"> Profit</v>
      </c>
      <c r="AB138" s="5" t="s">
        <v>452</v>
      </c>
      <c r="AC138" s="5" t="s">
        <v>82</v>
      </c>
      <c r="AD138" s="5" t="s">
        <v>43</v>
      </c>
      <c r="AE138" s="5" t="s">
        <v>185</v>
      </c>
      <c r="AF138" s="5" t="s">
        <v>185</v>
      </c>
      <c r="AG138" s="3">
        <v>45714</v>
      </c>
      <c r="AH138" s="3">
        <v>45720</v>
      </c>
    </row>
    <row r="139" spans="1:34" ht="12" customHeight="1">
      <c r="A139" s="3">
        <v>45711</v>
      </c>
      <c r="B139" s="5" t="s">
        <v>455</v>
      </c>
      <c r="C139" s="5" t="s">
        <v>456</v>
      </c>
      <c r="D139" s="5" t="s">
        <v>415</v>
      </c>
      <c r="E139" s="5" t="s">
        <v>63</v>
      </c>
      <c r="F139" s="5" t="str">
        <f t="shared" si="16"/>
        <v>Rice</v>
      </c>
      <c r="G139" s="5" t="s">
        <v>49</v>
      </c>
      <c r="H139" s="5" t="s">
        <v>444</v>
      </c>
      <c r="I139" s="5" t="s">
        <v>40</v>
      </c>
      <c r="J139" s="6">
        <v>10</v>
      </c>
      <c r="K139" s="6">
        <v>260</v>
      </c>
      <c r="L139" s="6">
        <v>423.15</v>
      </c>
      <c r="M139" s="6">
        <f t="shared" si="17"/>
        <v>110019</v>
      </c>
      <c r="N139" s="6">
        <v>2760.0169799999999</v>
      </c>
      <c r="O139" s="6">
        <v>403</v>
      </c>
      <c r="P139" s="6">
        <f t="shared" si="18"/>
        <v>104780</v>
      </c>
      <c r="Q139" s="6">
        <f t="shared" si="19"/>
        <v>5239</v>
      </c>
      <c r="R139" s="6">
        <v>6764.7475000000004</v>
      </c>
      <c r="S139" s="6">
        <v>541.1798</v>
      </c>
      <c r="T139" s="6">
        <v>0</v>
      </c>
      <c r="U139" s="6">
        <v>47.353200000000001</v>
      </c>
      <c r="V139" s="6">
        <v>0</v>
      </c>
      <c r="W139" s="6">
        <f t="shared" si="20"/>
        <v>2760.0169799999999</v>
      </c>
      <c r="X139" s="6">
        <f t="shared" si="21"/>
        <v>7353.2804999999998</v>
      </c>
      <c r="Y139" s="6">
        <v>0</v>
      </c>
      <c r="Z139" s="6">
        <f t="shared" si="22"/>
        <v>645.73648000000003</v>
      </c>
      <c r="AA139" s="6" t="str">
        <f t="shared" si="23"/>
        <v xml:space="preserve"> Profit</v>
      </c>
      <c r="AB139" s="5" t="s">
        <v>993</v>
      </c>
      <c r="AC139" s="5" t="s">
        <v>77</v>
      </c>
      <c r="AD139" s="5" t="s">
        <v>67</v>
      </c>
      <c r="AE139" s="5" t="s">
        <v>44</v>
      </c>
      <c r="AF139" s="5" t="s">
        <v>45</v>
      </c>
      <c r="AG139" s="3">
        <v>45715</v>
      </c>
      <c r="AH139" s="3">
        <v>45721</v>
      </c>
    </row>
    <row r="140" spans="1:34" ht="12" customHeight="1">
      <c r="A140" s="3">
        <v>45712</v>
      </c>
      <c r="B140" s="5" t="s">
        <v>458</v>
      </c>
      <c r="C140" s="5" t="s">
        <v>459</v>
      </c>
      <c r="D140" s="5" t="s">
        <v>460</v>
      </c>
      <c r="E140" s="5" t="s">
        <v>461</v>
      </c>
      <c r="F140" s="5" t="str">
        <f t="shared" si="16"/>
        <v>Rice</v>
      </c>
      <c r="G140" s="5" t="s">
        <v>86</v>
      </c>
      <c r="H140" s="5" t="s">
        <v>444</v>
      </c>
      <c r="I140" s="5" t="s">
        <v>40</v>
      </c>
      <c r="J140" s="6">
        <v>10</v>
      </c>
      <c r="K140" s="6">
        <v>260</v>
      </c>
      <c r="L140" s="6">
        <v>403.2</v>
      </c>
      <c r="M140" s="6">
        <f t="shared" si="17"/>
        <v>104832</v>
      </c>
      <c r="N140" s="6">
        <v>2203.1999999999998</v>
      </c>
      <c r="O140" s="6">
        <v>384</v>
      </c>
      <c r="P140" s="6">
        <f t="shared" si="18"/>
        <v>99840</v>
      </c>
      <c r="Q140" s="6">
        <f t="shared" si="19"/>
        <v>4992</v>
      </c>
      <c r="R140" s="6">
        <v>5400</v>
      </c>
      <c r="S140" s="6">
        <v>432</v>
      </c>
      <c r="T140" s="6">
        <v>0</v>
      </c>
      <c r="U140" s="6">
        <v>37.799999999999997</v>
      </c>
      <c r="V140" s="6">
        <v>32.15</v>
      </c>
      <c r="W140" s="6">
        <f t="shared" si="20"/>
        <v>2203.1999999999998</v>
      </c>
      <c r="X140" s="6">
        <f t="shared" si="21"/>
        <v>5901.95</v>
      </c>
      <c r="Y140" s="6">
        <v>0</v>
      </c>
      <c r="Z140" s="6">
        <f t="shared" si="22"/>
        <v>1293.25</v>
      </c>
      <c r="AA140" s="6" t="str">
        <f t="shared" si="23"/>
        <v xml:space="preserve"> Profit</v>
      </c>
      <c r="AB140" s="5" t="s">
        <v>462</v>
      </c>
      <c r="AC140" s="5" t="s">
        <v>42</v>
      </c>
      <c r="AD140" s="5" t="s">
        <v>43</v>
      </c>
      <c r="AE140" s="5" t="s">
        <v>44</v>
      </c>
      <c r="AF140" s="5" t="s">
        <v>45</v>
      </c>
      <c r="AG140" s="3">
        <v>45716</v>
      </c>
      <c r="AH140" s="3">
        <v>45722</v>
      </c>
    </row>
    <row r="141" spans="1:34" ht="12" customHeight="1">
      <c r="A141" s="3">
        <v>45713</v>
      </c>
      <c r="B141" s="5" t="s">
        <v>463</v>
      </c>
      <c r="C141" s="5" t="s">
        <v>464</v>
      </c>
      <c r="D141" s="5" t="s">
        <v>460</v>
      </c>
      <c r="E141" s="5" t="s">
        <v>397</v>
      </c>
      <c r="F141" s="5" t="str">
        <f t="shared" si="16"/>
        <v>Rice</v>
      </c>
      <c r="G141" s="5" t="s">
        <v>272</v>
      </c>
      <c r="H141" s="5" t="s">
        <v>444</v>
      </c>
      <c r="I141" s="5" t="s">
        <v>40</v>
      </c>
      <c r="J141" s="6">
        <v>10</v>
      </c>
      <c r="K141" s="6">
        <v>260</v>
      </c>
      <c r="L141" s="6">
        <v>408.45</v>
      </c>
      <c r="M141" s="6">
        <f t="shared" si="17"/>
        <v>106197</v>
      </c>
      <c r="N141" s="6">
        <v>2203.1999999999998</v>
      </c>
      <c r="O141" s="6">
        <v>389</v>
      </c>
      <c r="P141" s="6">
        <f t="shared" si="18"/>
        <v>101140</v>
      </c>
      <c r="Q141" s="6">
        <f t="shared" si="19"/>
        <v>5057</v>
      </c>
      <c r="R141" s="6">
        <v>5400</v>
      </c>
      <c r="S141" s="6">
        <v>432</v>
      </c>
      <c r="T141" s="6">
        <v>0</v>
      </c>
      <c r="U141" s="6">
        <v>37.799999999999997</v>
      </c>
      <c r="V141" s="6">
        <v>0</v>
      </c>
      <c r="W141" s="6">
        <f t="shared" si="20"/>
        <v>2203.1999999999998</v>
      </c>
      <c r="X141" s="6">
        <f t="shared" si="21"/>
        <v>5869.8</v>
      </c>
      <c r="Y141" s="6">
        <v>0</v>
      </c>
      <c r="Z141" s="6">
        <f t="shared" si="22"/>
        <v>1390.3999999999996</v>
      </c>
      <c r="AA141" s="6" t="str">
        <f t="shared" si="23"/>
        <v xml:space="preserve"> Profit</v>
      </c>
      <c r="AB141" s="5" t="s">
        <v>465</v>
      </c>
      <c r="AC141" s="5" t="s">
        <v>42</v>
      </c>
      <c r="AD141" s="5" t="s">
        <v>43</v>
      </c>
      <c r="AE141" s="5" t="s">
        <v>44</v>
      </c>
      <c r="AF141" s="5" t="s">
        <v>45</v>
      </c>
      <c r="AG141" s="3">
        <v>45717</v>
      </c>
      <c r="AH141" s="3">
        <v>45723</v>
      </c>
    </row>
    <row r="142" spans="1:34" ht="12" customHeight="1">
      <c r="A142" s="3">
        <v>45714</v>
      </c>
      <c r="B142" s="5" t="s">
        <v>466</v>
      </c>
      <c r="C142" s="5" t="s">
        <v>467</v>
      </c>
      <c r="D142" s="5" t="s">
        <v>460</v>
      </c>
      <c r="E142" s="5" t="s">
        <v>397</v>
      </c>
      <c r="F142" s="5" t="str">
        <f t="shared" si="16"/>
        <v>Rice</v>
      </c>
      <c r="G142" s="5" t="s">
        <v>49</v>
      </c>
      <c r="H142" s="5" t="s">
        <v>444</v>
      </c>
      <c r="I142" s="5" t="s">
        <v>40</v>
      </c>
      <c r="J142" s="6">
        <v>20</v>
      </c>
      <c r="K142" s="6">
        <v>520</v>
      </c>
      <c r="L142" s="6">
        <v>413.7</v>
      </c>
      <c r="M142" s="6">
        <f t="shared" si="17"/>
        <v>215124</v>
      </c>
      <c r="N142" s="6">
        <v>4406.3999999999996</v>
      </c>
      <c r="O142" s="6">
        <v>394</v>
      </c>
      <c r="P142" s="6">
        <f t="shared" si="18"/>
        <v>204880</v>
      </c>
      <c r="Q142" s="6">
        <f t="shared" si="19"/>
        <v>10244</v>
      </c>
      <c r="R142" s="6">
        <v>10800</v>
      </c>
      <c r="S142" s="6">
        <v>864</v>
      </c>
      <c r="T142" s="6">
        <v>0</v>
      </c>
      <c r="U142" s="6">
        <v>75.599999999999994</v>
      </c>
      <c r="V142" s="6">
        <v>0</v>
      </c>
      <c r="W142" s="6">
        <f t="shared" si="20"/>
        <v>4406.3999999999996</v>
      </c>
      <c r="X142" s="6">
        <f t="shared" si="21"/>
        <v>11739.6</v>
      </c>
      <c r="Y142" s="6">
        <v>0</v>
      </c>
      <c r="Z142" s="6">
        <f t="shared" si="22"/>
        <v>2910.7999999999993</v>
      </c>
      <c r="AA142" s="6" t="str">
        <f t="shared" si="23"/>
        <v xml:space="preserve"> Profit</v>
      </c>
      <c r="AB142" s="5" t="s">
        <v>468</v>
      </c>
      <c r="AC142" s="5" t="s">
        <v>42</v>
      </c>
      <c r="AD142" s="5" t="s">
        <v>43</v>
      </c>
      <c r="AE142" s="5" t="s">
        <v>44</v>
      </c>
      <c r="AF142" s="5" t="s">
        <v>45</v>
      </c>
      <c r="AG142" s="3">
        <v>45718</v>
      </c>
      <c r="AH142" s="3">
        <v>45724</v>
      </c>
    </row>
    <row r="143" spans="1:34" ht="12" customHeight="1">
      <c r="A143" s="3">
        <v>45715</v>
      </c>
      <c r="B143" s="5" t="s">
        <v>469</v>
      </c>
      <c r="C143" s="5" t="s">
        <v>459</v>
      </c>
      <c r="D143" s="5" t="s">
        <v>460</v>
      </c>
      <c r="E143" s="5" t="s">
        <v>63</v>
      </c>
      <c r="F143" s="5" t="str">
        <f t="shared" si="16"/>
        <v>Rice</v>
      </c>
      <c r="G143" s="5" t="s">
        <v>86</v>
      </c>
      <c r="H143" s="5" t="s">
        <v>444</v>
      </c>
      <c r="I143" s="5" t="s">
        <v>40</v>
      </c>
      <c r="J143" s="6">
        <v>10</v>
      </c>
      <c r="K143" s="6">
        <v>260</v>
      </c>
      <c r="L143" s="6">
        <v>403.2</v>
      </c>
      <c r="M143" s="6">
        <f t="shared" si="17"/>
        <v>104832</v>
      </c>
      <c r="N143" s="6">
        <v>2203.1999999999998</v>
      </c>
      <c r="O143" s="6">
        <v>384</v>
      </c>
      <c r="P143" s="6">
        <f t="shared" si="18"/>
        <v>99840</v>
      </c>
      <c r="Q143" s="6">
        <f t="shared" si="19"/>
        <v>4992</v>
      </c>
      <c r="R143" s="6">
        <v>5400</v>
      </c>
      <c r="S143" s="6">
        <v>432</v>
      </c>
      <c r="T143" s="6">
        <v>0</v>
      </c>
      <c r="U143" s="6">
        <v>37.799999999999997</v>
      </c>
      <c r="V143" s="6">
        <v>0</v>
      </c>
      <c r="W143" s="6">
        <f t="shared" si="20"/>
        <v>2203.1999999999998</v>
      </c>
      <c r="X143" s="6">
        <f t="shared" si="21"/>
        <v>5869.8</v>
      </c>
      <c r="Y143" s="6">
        <v>0</v>
      </c>
      <c r="Z143" s="6">
        <f t="shared" si="22"/>
        <v>1325.3999999999996</v>
      </c>
      <c r="AA143" s="6" t="str">
        <f t="shared" si="23"/>
        <v xml:space="preserve"> Profit</v>
      </c>
      <c r="AB143" s="5" t="s">
        <v>470</v>
      </c>
      <c r="AC143" s="5" t="s">
        <v>42</v>
      </c>
      <c r="AD143" s="5" t="s">
        <v>43</v>
      </c>
      <c r="AE143" s="5" t="s">
        <v>44</v>
      </c>
      <c r="AF143" s="5" t="s">
        <v>45</v>
      </c>
      <c r="AG143" s="3">
        <v>45719</v>
      </c>
      <c r="AH143" s="3">
        <v>45725</v>
      </c>
    </row>
    <row r="144" spans="1:34" ht="12" customHeight="1">
      <c r="A144" s="3">
        <v>45716</v>
      </c>
      <c r="B144" s="5" t="s">
        <v>471</v>
      </c>
      <c r="C144" s="5" t="s">
        <v>472</v>
      </c>
      <c r="D144" s="5" t="s">
        <v>460</v>
      </c>
      <c r="E144" s="5" t="s">
        <v>63</v>
      </c>
      <c r="F144" s="5" t="str">
        <f t="shared" si="16"/>
        <v>Rice</v>
      </c>
      <c r="G144" s="5" t="s">
        <v>38</v>
      </c>
      <c r="H144" s="5" t="s">
        <v>444</v>
      </c>
      <c r="I144" s="5" t="s">
        <v>80</v>
      </c>
      <c r="J144" s="6">
        <v>40</v>
      </c>
      <c r="K144" s="6">
        <v>1040</v>
      </c>
      <c r="L144" s="6">
        <v>443.1</v>
      </c>
      <c r="M144" s="6">
        <f t="shared" si="17"/>
        <v>460824</v>
      </c>
      <c r="N144" s="6">
        <v>18360</v>
      </c>
      <c r="O144" s="6">
        <v>422</v>
      </c>
      <c r="P144" s="6">
        <f t="shared" si="18"/>
        <v>438880</v>
      </c>
      <c r="Q144" s="6">
        <f t="shared" si="19"/>
        <v>21944</v>
      </c>
      <c r="R144" s="6">
        <v>45000</v>
      </c>
      <c r="S144" s="6">
        <v>0</v>
      </c>
      <c r="T144" s="6">
        <v>0</v>
      </c>
      <c r="U144" s="6">
        <v>315</v>
      </c>
      <c r="V144" s="6">
        <v>42.15</v>
      </c>
      <c r="W144" s="6">
        <f t="shared" si="20"/>
        <v>18360</v>
      </c>
      <c r="X144" s="6">
        <f t="shared" si="21"/>
        <v>45357.15</v>
      </c>
      <c r="Y144" s="6">
        <v>0</v>
      </c>
      <c r="Z144" s="6">
        <f t="shared" si="22"/>
        <v>-5053.1500000000015</v>
      </c>
      <c r="AA144" s="6" t="str">
        <f t="shared" si="23"/>
        <v xml:space="preserve"> Loss</v>
      </c>
      <c r="AB144" s="5" t="s">
        <v>457</v>
      </c>
      <c r="AC144" s="5" t="s">
        <v>82</v>
      </c>
      <c r="AD144" s="5" t="s">
        <v>43</v>
      </c>
      <c r="AE144" s="5" t="s">
        <v>185</v>
      </c>
      <c r="AF144" s="5" t="s">
        <v>185</v>
      </c>
      <c r="AG144" s="3">
        <v>45720</v>
      </c>
      <c r="AH144" s="3">
        <v>45726</v>
      </c>
    </row>
    <row r="145" spans="1:34" ht="12" customHeight="1">
      <c r="A145" s="3">
        <v>45717</v>
      </c>
      <c r="B145" s="5" t="s">
        <v>473</v>
      </c>
      <c r="C145" s="5" t="s">
        <v>472</v>
      </c>
      <c r="D145" s="5" t="s">
        <v>460</v>
      </c>
      <c r="E145" s="5" t="s">
        <v>63</v>
      </c>
      <c r="F145" s="5" t="str">
        <f t="shared" si="16"/>
        <v>Rice</v>
      </c>
      <c r="G145" s="5" t="s">
        <v>38</v>
      </c>
      <c r="H145" s="5" t="s">
        <v>444</v>
      </c>
      <c r="I145" s="5" t="s">
        <v>80</v>
      </c>
      <c r="J145" s="6">
        <v>10</v>
      </c>
      <c r="K145" s="6">
        <v>260</v>
      </c>
      <c r="L145" s="6">
        <v>443.1</v>
      </c>
      <c r="M145" s="6">
        <f t="shared" si="17"/>
        <v>115206</v>
      </c>
      <c r="N145" s="6">
        <v>4590</v>
      </c>
      <c r="O145" s="6">
        <v>422</v>
      </c>
      <c r="P145" s="6">
        <f t="shared" si="18"/>
        <v>109720</v>
      </c>
      <c r="Q145" s="6">
        <f t="shared" si="19"/>
        <v>5486</v>
      </c>
      <c r="R145" s="6">
        <v>11250</v>
      </c>
      <c r="S145" s="6">
        <v>0</v>
      </c>
      <c r="T145" s="6">
        <v>0</v>
      </c>
      <c r="U145" s="6">
        <v>78.75</v>
      </c>
      <c r="V145" s="6">
        <v>0</v>
      </c>
      <c r="W145" s="6">
        <f t="shared" si="20"/>
        <v>4590</v>
      </c>
      <c r="X145" s="6">
        <f t="shared" si="21"/>
        <v>11328.75</v>
      </c>
      <c r="Y145" s="6">
        <v>0</v>
      </c>
      <c r="Z145" s="6">
        <f t="shared" si="22"/>
        <v>-1252.75</v>
      </c>
      <c r="AA145" s="6" t="str">
        <f t="shared" si="23"/>
        <v xml:space="preserve"> Loss</v>
      </c>
      <c r="AB145" s="5" t="s">
        <v>994</v>
      </c>
      <c r="AC145" s="5" t="s">
        <v>82</v>
      </c>
      <c r="AD145" s="5" t="s">
        <v>88</v>
      </c>
      <c r="AE145" s="5" t="s">
        <v>114</v>
      </c>
      <c r="AF145" s="5" t="s">
        <v>115</v>
      </c>
      <c r="AG145" s="3">
        <v>45721</v>
      </c>
      <c r="AH145" s="3">
        <v>45727</v>
      </c>
    </row>
    <row r="146" spans="1:34" ht="12" customHeight="1">
      <c r="A146" s="3">
        <v>45718</v>
      </c>
      <c r="B146" s="5" t="s">
        <v>475</v>
      </c>
      <c r="C146" s="5" t="s">
        <v>472</v>
      </c>
      <c r="D146" s="5" t="s">
        <v>460</v>
      </c>
      <c r="E146" s="5" t="s">
        <v>397</v>
      </c>
      <c r="F146" s="5" t="str">
        <f t="shared" si="16"/>
        <v>Rice</v>
      </c>
      <c r="G146" s="5" t="s">
        <v>38</v>
      </c>
      <c r="H146" s="5" t="s">
        <v>444</v>
      </c>
      <c r="I146" s="5" t="s">
        <v>80</v>
      </c>
      <c r="J146" s="6">
        <v>10</v>
      </c>
      <c r="K146" s="6">
        <v>260</v>
      </c>
      <c r="L146" s="6">
        <v>443.1</v>
      </c>
      <c r="M146" s="6">
        <f t="shared" si="17"/>
        <v>115206</v>
      </c>
      <c r="N146" s="6">
        <v>4590</v>
      </c>
      <c r="O146" s="6">
        <v>422</v>
      </c>
      <c r="P146" s="6">
        <f t="shared" si="18"/>
        <v>109720</v>
      </c>
      <c r="Q146" s="6">
        <f t="shared" si="19"/>
        <v>5486</v>
      </c>
      <c r="R146" s="6">
        <v>11250</v>
      </c>
      <c r="S146" s="6">
        <v>0</v>
      </c>
      <c r="T146" s="6">
        <v>0</v>
      </c>
      <c r="U146" s="6">
        <v>78.75</v>
      </c>
      <c r="V146" s="6">
        <v>0</v>
      </c>
      <c r="W146" s="6">
        <f t="shared" si="20"/>
        <v>4590</v>
      </c>
      <c r="X146" s="6">
        <f t="shared" si="21"/>
        <v>11328.75</v>
      </c>
      <c r="Y146" s="6">
        <v>0</v>
      </c>
      <c r="Z146" s="6">
        <f t="shared" si="22"/>
        <v>-1252.75</v>
      </c>
      <c r="AA146" s="6" t="str">
        <f t="shared" si="23"/>
        <v xml:space="preserve"> Loss</v>
      </c>
      <c r="AB146" s="5" t="s">
        <v>474</v>
      </c>
      <c r="AC146" s="5" t="s">
        <v>82</v>
      </c>
      <c r="AD146" s="5" t="s">
        <v>88</v>
      </c>
      <c r="AE146" s="5" t="s">
        <v>114</v>
      </c>
      <c r="AF146" s="5" t="s">
        <v>115</v>
      </c>
      <c r="AG146" s="3">
        <v>45722</v>
      </c>
      <c r="AH146" s="3">
        <v>45728</v>
      </c>
    </row>
    <row r="147" spans="1:34" ht="12" customHeight="1">
      <c r="A147" s="3">
        <v>45719</v>
      </c>
      <c r="B147" s="5" t="s">
        <v>476</v>
      </c>
      <c r="C147" s="5" t="s">
        <v>472</v>
      </c>
      <c r="D147" s="5" t="s">
        <v>460</v>
      </c>
      <c r="E147" s="5" t="s">
        <v>397</v>
      </c>
      <c r="F147" s="5" t="str">
        <f t="shared" si="16"/>
        <v>Rice</v>
      </c>
      <c r="G147" s="5" t="s">
        <v>38</v>
      </c>
      <c r="H147" s="5" t="s">
        <v>444</v>
      </c>
      <c r="I147" s="5" t="s">
        <v>80</v>
      </c>
      <c r="J147" s="6">
        <v>20</v>
      </c>
      <c r="K147" s="6">
        <v>520</v>
      </c>
      <c r="L147" s="6">
        <v>443.1</v>
      </c>
      <c r="M147" s="6">
        <f t="shared" si="17"/>
        <v>230412</v>
      </c>
      <c r="N147" s="6">
        <v>9180</v>
      </c>
      <c r="O147" s="6">
        <v>422</v>
      </c>
      <c r="P147" s="6">
        <f t="shared" si="18"/>
        <v>219440</v>
      </c>
      <c r="Q147" s="6">
        <f t="shared" si="19"/>
        <v>10972</v>
      </c>
      <c r="R147" s="6">
        <v>22500</v>
      </c>
      <c r="S147" s="6">
        <v>0</v>
      </c>
      <c r="T147" s="6">
        <v>0</v>
      </c>
      <c r="U147" s="6">
        <v>157.5</v>
      </c>
      <c r="V147" s="6">
        <v>0</v>
      </c>
      <c r="W147" s="6">
        <f t="shared" si="20"/>
        <v>9180</v>
      </c>
      <c r="X147" s="6">
        <f t="shared" si="21"/>
        <v>22657.5</v>
      </c>
      <c r="Y147" s="6">
        <v>0</v>
      </c>
      <c r="Z147" s="6">
        <f t="shared" si="22"/>
        <v>-2505.5</v>
      </c>
      <c r="AA147" s="6" t="str">
        <f t="shared" si="23"/>
        <v xml:space="preserve"> Loss</v>
      </c>
      <c r="AB147" s="5" t="s">
        <v>477</v>
      </c>
      <c r="AC147" s="5" t="s">
        <v>82</v>
      </c>
      <c r="AD147" s="5" t="s">
        <v>88</v>
      </c>
      <c r="AE147" s="5" t="s">
        <v>114</v>
      </c>
      <c r="AF147" s="5" t="s">
        <v>115</v>
      </c>
      <c r="AG147" s="3">
        <v>45723</v>
      </c>
      <c r="AH147" s="3">
        <v>45729</v>
      </c>
    </row>
    <row r="148" spans="1:34" ht="12" customHeight="1">
      <c r="A148" s="3">
        <v>45720</v>
      </c>
      <c r="B148" s="5" t="s">
        <v>478</v>
      </c>
      <c r="C148" s="5" t="s">
        <v>479</v>
      </c>
      <c r="D148" s="5" t="s">
        <v>480</v>
      </c>
      <c r="E148" s="5" t="s">
        <v>397</v>
      </c>
      <c r="F148" s="5" t="str">
        <f t="shared" si="16"/>
        <v>Rice</v>
      </c>
      <c r="G148" s="5" t="s">
        <v>49</v>
      </c>
      <c r="H148" s="5" t="s">
        <v>444</v>
      </c>
      <c r="I148" s="5" t="s">
        <v>80</v>
      </c>
      <c r="J148" s="6">
        <v>20</v>
      </c>
      <c r="K148" s="6">
        <v>520</v>
      </c>
      <c r="L148" s="6">
        <v>365.4</v>
      </c>
      <c r="M148" s="6">
        <f t="shared" si="17"/>
        <v>190008</v>
      </c>
      <c r="N148" s="6">
        <v>5589.6</v>
      </c>
      <c r="O148" s="6">
        <v>348</v>
      </c>
      <c r="P148" s="6">
        <f t="shared" si="18"/>
        <v>180960</v>
      </c>
      <c r="Q148" s="6">
        <f t="shared" si="19"/>
        <v>9048</v>
      </c>
      <c r="R148" s="6">
        <v>13700</v>
      </c>
      <c r="S148" s="6">
        <v>0</v>
      </c>
      <c r="T148" s="6">
        <v>0</v>
      </c>
      <c r="U148" s="6">
        <v>95.9</v>
      </c>
      <c r="V148" s="6">
        <v>0</v>
      </c>
      <c r="W148" s="6">
        <f t="shared" si="20"/>
        <v>5589.6</v>
      </c>
      <c r="X148" s="6">
        <f t="shared" si="21"/>
        <v>13795.9</v>
      </c>
      <c r="Y148" s="6">
        <v>0</v>
      </c>
      <c r="Z148" s="6">
        <f t="shared" si="22"/>
        <v>841.70000000000073</v>
      </c>
      <c r="AA148" s="6" t="str">
        <f t="shared" si="23"/>
        <v xml:space="preserve"> Profit</v>
      </c>
      <c r="AB148" s="5" t="s">
        <v>481</v>
      </c>
      <c r="AC148" s="5" t="s">
        <v>82</v>
      </c>
      <c r="AD148" s="5" t="s">
        <v>88</v>
      </c>
      <c r="AE148" s="5" t="s">
        <v>44</v>
      </c>
      <c r="AF148" s="5" t="s">
        <v>45</v>
      </c>
      <c r="AG148" s="3">
        <v>45724</v>
      </c>
      <c r="AH148" s="3">
        <v>45730</v>
      </c>
    </row>
    <row r="149" spans="1:34" ht="12" customHeight="1">
      <c r="A149" s="3">
        <v>45721</v>
      </c>
      <c r="B149" s="5" t="s">
        <v>482</v>
      </c>
      <c r="C149" s="5" t="s">
        <v>451</v>
      </c>
      <c r="D149" s="5" t="s">
        <v>415</v>
      </c>
      <c r="E149" s="5" t="s">
        <v>63</v>
      </c>
      <c r="F149" s="5" t="str">
        <f t="shared" si="16"/>
        <v>Rice</v>
      </c>
      <c r="G149" s="5" t="s">
        <v>49</v>
      </c>
      <c r="H149" s="5" t="s">
        <v>444</v>
      </c>
      <c r="I149" s="5" t="s">
        <v>80</v>
      </c>
      <c r="J149" s="6">
        <v>10</v>
      </c>
      <c r="K149" s="6">
        <v>260</v>
      </c>
      <c r="L149" s="6">
        <v>444.15</v>
      </c>
      <c r="M149" s="6">
        <f t="shared" si="17"/>
        <v>115479</v>
      </c>
      <c r="N149" s="6">
        <v>2705.04</v>
      </c>
      <c r="O149" s="6">
        <v>423</v>
      </c>
      <c r="P149" s="6">
        <f t="shared" si="18"/>
        <v>109980</v>
      </c>
      <c r="Q149" s="6">
        <f t="shared" si="19"/>
        <v>5499</v>
      </c>
      <c r="R149" s="6">
        <v>6630</v>
      </c>
      <c r="S149" s="6">
        <v>0</v>
      </c>
      <c r="T149" s="6">
        <v>0</v>
      </c>
      <c r="U149" s="6">
        <v>46.41</v>
      </c>
      <c r="V149" s="6">
        <v>7.15</v>
      </c>
      <c r="W149" s="6">
        <f t="shared" si="20"/>
        <v>2705.04</v>
      </c>
      <c r="X149" s="6">
        <f t="shared" si="21"/>
        <v>6683.5599999999995</v>
      </c>
      <c r="Y149" s="6">
        <v>0</v>
      </c>
      <c r="Z149" s="6">
        <f t="shared" si="22"/>
        <v>1520.4800000000005</v>
      </c>
      <c r="AA149" s="6" t="str">
        <f t="shared" si="23"/>
        <v xml:space="preserve"> Profit</v>
      </c>
      <c r="AB149" s="5" t="s">
        <v>995</v>
      </c>
      <c r="AC149" s="5" t="s">
        <v>184</v>
      </c>
      <c r="AD149" s="5" t="s">
        <v>67</v>
      </c>
      <c r="AE149" s="5" t="s">
        <v>114</v>
      </c>
      <c r="AF149" s="5" t="s">
        <v>115</v>
      </c>
      <c r="AG149" s="3">
        <v>45725</v>
      </c>
      <c r="AH149" s="3">
        <v>45731</v>
      </c>
    </row>
    <row r="150" spans="1:34" ht="12" customHeight="1">
      <c r="A150" s="3">
        <v>45722</v>
      </c>
      <c r="B150" s="5" t="s">
        <v>484</v>
      </c>
      <c r="C150" s="5" t="s">
        <v>485</v>
      </c>
      <c r="D150" s="5" t="s">
        <v>415</v>
      </c>
      <c r="E150" s="5" t="s">
        <v>63</v>
      </c>
      <c r="F150" s="5" t="str">
        <f t="shared" si="16"/>
        <v>Rice</v>
      </c>
      <c r="G150" s="5" t="s">
        <v>38</v>
      </c>
      <c r="H150" s="5" t="s">
        <v>444</v>
      </c>
      <c r="I150" s="5" t="s">
        <v>80</v>
      </c>
      <c r="J150" s="6">
        <v>20</v>
      </c>
      <c r="K150" s="6">
        <v>520</v>
      </c>
      <c r="L150" s="6">
        <v>415.8</v>
      </c>
      <c r="M150" s="6">
        <f t="shared" si="17"/>
        <v>216216</v>
      </c>
      <c r="N150" s="6">
        <v>9180</v>
      </c>
      <c r="O150" s="6">
        <v>396</v>
      </c>
      <c r="P150" s="6">
        <f t="shared" si="18"/>
        <v>205920</v>
      </c>
      <c r="Q150" s="6">
        <f t="shared" si="19"/>
        <v>10296</v>
      </c>
      <c r="R150" s="6">
        <v>22500</v>
      </c>
      <c r="S150" s="6">
        <v>0</v>
      </c>
      <c r="T150" s="6">
        <v>0</v>
      </c>
      <c r="U150" s="6">
        <v>157.5</v>
      </c>
      <c r="V150" s="6">
        <v>0</v>
      </c>
      <c r="W150" s="6">
        <f t="shared" si="20"/>
        <v>9180</v>
      </c>
      <c r="X150" s="6">
        <f t="shared" si="21"/>
        <v>22657.5</v>
      </c>
      <c r="Y150" s="6">
        <v>0</v>
      </c>
      <c r="Z150" s="6">
        <f t="shared" si="22"/>
        <v>-3181.5</v>
      </c>
      <c r="AA150" s="6" t="str">
        <f t="shared" si="23"/>
        <v xml:space="preserve"> Loss</v>
      </c>
      <c r="AB150" s="5" t="s">
        <v>996</v>
      </c>
      <c r="AC150" s="5" t="s">
        <v>42</v>
      </c>
      <c r="AD150" s="5" t="s">
        <v>43</v>
      </c>
      <c r="AE150" s="5" t="s">
        <v>44</v>
      </c>
      <c r="AF150" s="5" t="s">
        <v>45</v>
      </c>
      <c r="AG150" s="3">
        <v>45726</v>
      </c>
      <c r="AH150" s="3">
        <v>45732</v>
      </c>
    </row>
    <row r="151" spans="1:34" ht="12" customHeight="1">
      <c r="A151" s="3">
        <v>45723</v>
      </c>
      <c r="B151" s="5" t="s">
        <v>486</v>
      </c>
      <c r="C151" s="5" t="s">
        <v>487</v>
      </c>
      <c r="D151" s="5" t="s">
        <v>415</v>
      </c>
      <c r="E151" s="5" t="s">
        <v>63</v>
      </c>
      <c r="F151" s="5" t="str">
        <f t="shared" si="16"/>
        <v>Rice</v>
      </c>
      <c r="G151" s="5" t="s">
        <v>38</v>
      </c>
      <c r="H151" s="5" t="s">
        <v>444</v>
      </c>
      <c r="I151" s="5" t="s">
        <v>80</v>
      </c>
      <c r="J151" s="6">
        <v>20</v>
      </c>
      <c r="K151" s="6">
        <v>520</v>
      </c>
      <c r="L151" s="6">
        <v>430.5</v>
      </c>
      <c r="M151" s="6">
        <f t="shared" si="17"/>
        <v>223860</v>
      </c>
      <c r="N151" s="6">
        <v>9024.9599999999991</v>
      </c>
      <c r="O151" s="6">
        <v>410</v>
      </c>
      <c r="P151" s="6">
        <f t="shared" si="18"/>
        <v>213200</v>
      </c>
      <c r="Q151" s="6">
        <f t="shared" si="19"/>
        <v>10660</v>
      </c>
      <c r="R151" s="6">
        <v>22120</v>
      </c>
      <c r="S151" s="6">
        <v>0</v>
      </c>
      <c r="T151" s="6">
        <v>0</v>
      </c>
      <c r="U151" s="6">
        <v>154.84</v>
      </c>
      <c r="V151" s="6">
        <v>7.15</v>
      </c>
      <c r="W151" s="6">
        <f t="shared" si="20"/>
        <v>9024.9599999999991</v>
      </c>
      <c r="X151" s="6">
        <f t="shared" si="21"/>
        <v>22281.99</v>
      </c>
      <c r="Y151" s="6">
        <v>0</v>
      </c>
      <c r="Z151" s="6">
        <f t="shared" si="22"/>
        <v>-2597.0300000000025</v>
      </c>
      <c r="AA151" s="6" t="str">
        <f t="shared" si="23"/>
        <v xml:space="preserve"> Loss</v>
      </c>
      <c r="AB151" s="5" t="s">
        <v>488</v>
      </c>
      <c r="AC151" s="5" t="s">
        <v>42</v>
      </c>
      <c r="AD151" s="5" t="s">
        <v>43</v>
      </c>
      <c r="AE151" s="5" t="s">
        <v>489</v>
      </c>
      <c r="AF151" s="5" t="s">
        <v>45</v>
      </c>
      <c r="AG151" s="3">
        <v>45727</v>
      </c>
      <c r="AH151" s="3">
        <v>45733</v>
      </c>
    </row>
    <row r="152" spans="1:34" ht="12" customHeight="1">
      <c r="A152" s="3">
        <v>45724</v>
      </c>
      <c r="B152" s="5" t="s">
        <v>490</v>
      </c>
      <c r="C152" s="5" t="s">
        <v>472</v>
      </c>
      <c r="D152" s="5" t="s">
        <v>415</v>
      </c>
      <c r="E152" s="5" t="s">
        <v>63</v>
      </c>
      <c r="F152" s="5" t="str">
        <f t="shared" si="16"/>
        <v>Rice</v>
      </c>
      <c r="G152" s="5" t="s">
        <v>38</v>
      </c>
      <c r="H152" s="5" t="s">
        <v>444</v>
      </c>
      <c r="I152" s="5" t="s">
        <v>80</v>
      </c>
      <c r="J152" s="6">
        <v>5</v>
      </c>
      <c r="K152" s="6">
        <v>130</v>
      </c>
      <c r="L152" s="6">
        <v>443.1</v>
      </c>
      <c r="M152" s="6">
        <f t="shared" si="17"/>
        <v>57603</v>
      </c>
      <c r="N152" s="6">
        <v>2295</v>
      </c>
      <c r="O152" s="6">
        <v>422</v>
      </c>
      <c r="P152" s="6">
        <f t="shared" si="18"/>
        <v>54860</v>
      </c>
      <c r="Q152" s="6">
        <f t="shared" si="19"/>
        <v>2743</v>
      </c>
      <c r="R152" s="6">
        <v>5625</v>
      </c>
      <c r="S152" s="6">
        <v>0</v>
      </c>
      <c r="T152" s="6">
        <v>0</v>
      </c>
      <c r="U152" s="6">
        <v>39.375</v>
      </c>
      <c r="V152" s="6">
        <v>7.15</v>
      </c>
      <c r="W152" s="6">
        <f t="shared" si="20"/>
        <v>2295</v>
      </c>
      <c r="X152" s="6">
        <f t="shared" si="21"/>
        <v>5671.5249999999996</v>
      </c>
      <c r="Y152" s="6">
        <v>0</v>
      </c>
      <c r="Z152" s="6">
        <f t="shared" si="22"/>
        <v>-633.52499999999964</v>
      </c>
      <c r="AA152" s="6" t="str">
        <f t="shared" si="23"/>
        <v xml:space="preserve"> Loss</v>
      </c>
      <c r="AB152" s="5" t="s">
        <v>491</v>
      </c>
      <c r="AC152" s="5" t="s">
        <v>184</v>
      </c>
      <c r="AD152" s="5" t="s">
        <v>67</v>
      </c>
      <c r="AE152" s="5" t="s">
        <v>114</v>
      </c>
      <c r="AF152" s="5" t="s">
        <v>115</v>
      </c>
      <c r="AG152" s="3">
        <v>45728</v>
      </c>
      <c r="AH152" s="3">
        <v>45734</v>
      </c>
    </row>
    <row r="153" spans="1:34" ht="12" customHeight="1">
      <c r="A153" s="3">
        <v>45725</v>
      </c>
      <c r="B153" s="5" t="s">
        <v>492</v>
      </c>
      <c r="C153" s="5" t="s">
        <v>472</v>
      </c>
      <c r="D153" s="5" t="s">
        <v>480</v>
      </c>
      <c r="E153" s="5" t="s">
        <v>63</v>
      </c>
      <c r="F153" s="5" t="str">
        <f t="shared" si="16"/>
        <v>Rice</v>
      </c>
      <c r="G153" s="5" t="s">
        <v>38</v>
      </c>
      <c r="H153" s="5" t="s">
        <v>444</v>
      </c>
      <c r="I153" s="5" t="s">
        <v>40</v>
      </c>
      <c r="J153" s="6">
        <v>20</v>
      </c>
      <c r="K153" s="6">
        <v>520</v>
      </c>
      <c r="L153" s="6">
        <v>443.1</v>
      </c>
      <c r="M153" s="6">
        <f t="shared" si="17"/>
        <v>230412</v>
      </c>
      <c r="N153" s="6">
        <v>9180</v>
      </c>
      <c r="O153" s="6">
        <v>422</v>
      </c>
      <c r="P153" s="6">
        <f t="shared" si="18"/>
        <v>219440</v>
      </c>
      <c r="Q153" s="6">
        <f t="shared" si="19"/>
        <v>10972</v>
      </c>
      <c r="R153" s="6">
        <v>22500</v>
      </c>
      <c r="S153" s="6">
        <v>1800</v>
      </c>
      <c r="T153" s="6">
        <v>0</v>
      </c>
      <c r="U153" s="6">
        <v>157.5</v>
      </c>
      <c r="V153" s="6">
        <v>7.15</v>
      </c>
      <c r="W153" s="6">
        <f t="shared" si="20"/>
        <v>9180</v>
      </c>
      <c r="X153" s="6">
        <f t="shared" si="21"/>
        <v>24464.65</v>
      </c>
      <c r="Y153" s="6">
        <v>0</v>
      </c>
      <c r="Z153" s="6">
        <f t="shared" si="22"/>
        <v>-4312.6500000000015</v>
      </c>
      <c r="AA153" s="6" t="str">
        <f t="shared" si="23"/>
        <v xml:space="preserve"> Loss</v>
      </c>
      <c r="AB153" s="5" t="s">
        <v>998</v>
      </c>
      <c r="AC153" s="5" t="s">
        <v>82</v>
      </c>
      <c r="AD153" s="5" t="s">
        <v>88</v>
      </c>
      <c r="AE153" s="5" t="s">
        <v>161</v>
      </c>
      <c r="AF153" s="5" t="s">
        <v>45</v>
      </c>
      <c r="AG153" s="3">
        <v>45729</v>
      </c>
      <c r="AH153" s="3">
        <v>45735</v>
      </c>
    </row>
    <row r="154" spans="1:34" ht="12" customHeight="1">
      <c r="A154" s="3">
        <v>45726</v>
      </c>
      <c r="B154" s="5" t="s">
        <v>494</v>
      </c>
      <c r="C154" s="5" t="s">
        <v>485</v>
      </c>
      <c r="D154" s="5" t="s">
        <v>415</v>
      </c>
      <c r="E154" s="5" t="s">
        <v>63</v>
      </c>
      <c r="F154" s="5" t="str">
        <f t="shared" si="16"/>
        <v>Rice</v>
      </c>
      <c r="G154" s="5" t="s">
        <v>38</v>
      </c>
      <c r="H154" s="5" t="s">
        <v>444</v>
      </c>
      <c r="I154" s="5" t="s">
        <v>40</v>
      </c>
      <c r="J154" s="6">
        <v>20</v>
      </c>
      <c r="K154" s="6">
        <v>520</v>
      </c>
      <c r="L154" s="6">
        <v>415.8</v>
      </c>
      <c r="M154" s="6">
        <f t="shared" si="17"/>
        <v>216216</v>
      </c>
      <c r="N154" s="6">
        <v>9018.7012799999993</v>
      </c>
      <c r="O154" s="6">
        <v>396</v>
      </c>
      <c r="P154" s="6">
        <f t="shared" si="18"/>
        <v>205920</v>
      </c>
      <c r="Q154" s="6">
        <f t="shared" si="19"/>
        <v>10296</v>
      </c>
      <c r="R154" s="6">
        <v>22104.66</v>
      </c>
      <c r="S154" s="6">
        <v>1768.3728000000001</v>
      </c>
      <c r="T154" s="6">
        <v>0</v>
      </c>
      <c r="U154" s="6">
        <v>154.73259999999999</v>
      </c>
      <c r="V154" s="6">
        <v>0</v>
      </c>
      <c r="W154" s="6">
        <f t="shared" si="20"/>
        <v>9018.7012799999993</v>
      </c>
      <c r="X154" s="6">
        <f t="shared" si="21"/>
        <v>24027.7654</v>
      </c>
      <c r="Y154" s="6">
        <v>0</v>
      </c>
      <c r="Z154" s="6">
        <f t="shared" si="22"/>
        <v>-4713.0641200000009</v>
      </c>
      <c r="AA154" s="6" t="str">
        <f t="shared" si="23"/>
        <v xml:space="preserve"> Loss</v>
      </c>
      <c r="AB154" s="5" t="s">
        <v>997</v>
      </c>
      <c r="AC154" s="5" t="s">
        <v>82</v>
      </c>
      <c r="AD154" s="5" t="s">
        <v>88</v>
      </c>
      <c r="AE154" s="5" t="s">
        <v>161</v>
      </c>
      <c r="AF154" s="5" t="s">
        <v>45</v>
      </c>
      <c r="AG154" s="3">
        <v>45730</v>
      </c>
      <c r="AH154" s="3">
        <v>45736</v>
      </c>
    </row>
    <row r="155" spans="1:34" ht="12" customHeight="1">
      <c r="A155" s="3">
        <v>45727</v>
      </c>
      <c r="B155" s="5" t="s">
        <v>496</v>
      </c>
      <c r="C155" s="5" t="s">
        <v>497</v>
      </c>
      <c r="D155" s="5" t="s">
        <v>480</v>
      </c>
      <c r="E155" s="5" t="s">
        <v>63</v>
      </c>
      <c r="F155" s="5" t="str">
        <f t="shared" si="16"/>
        <v>Rice</v>
      </c>
      <c r="G155" s="5" t="s">
        <v>49</v>
      </c>
      <c r="H155" s="5" t="s">
        <v>444</v>
      </c>
      <c r="I155" s="5" t="s">
        <v>58</v>
      </c>
      <c r="J155" s="6">
        <v>4</v>
      </c>
      <c r="K155" s="6">
        <v>54</v>
      </c>
      <c r="L155" s="6">
        <v>645.75</v>
      </c>
      <c r="M155" s="6">
        <f t="shared" si="17"/>
        <v>34870.5</v>
      </c>
      <c r="N155" s="6">
        <v>0</v>
      </c>
      <c r="O155" s="6">
        <v>615</v>
      </c>
      <c r="P155" s="6">
        <f t="shared" si="18"/>
        <v>33210</v>
      </c>
      <c r="Q155" s="6">
        <f t="shared" si="19"/>
        <v>1660.5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f t="shared" si="20"/>
        <v>0</v>
      </c>
      <c r="X155" s="6">
        <f t="shared" si="21"/>
        <v>0</v>
      </c>
      <c r="Y155" s="6">
        <v>0</v>
      </c>
      <c r="Z155" s="6">
        <f t="shared" si="22"/>
        <v>1660.5</v>
      </c>
      <c r="AA155" s="6" t="str">
        <f t="shared" si="23"/>
        <v xml:space="preserve"> Profit</v>
      </c>
      <c r="AB155" s="5" t="s">
        <v>416</v>
      </c>
      <c r="AC155" s="5" t="s">
        <v>77</v>
      </c>
      <c r="AD155" s="5" t="s">
        <v>67</v>
      </c>
      <c r="AE155" s="5" t="s">
        <v>161</v>
      </c>
      <c r="AF155" s="5" t="s">
        <v>45</v>
      </c>
      <c r="AG155" s="3">
        <v>45731</v>
      </c>
      <c r="AH155" s="3">
        <v>45737</v>
      </c>
    </row>
    <row r="156" spans="1:34" ht="12" customHeight="1">
      <c r="A156" s="3">
        <v>45728</v>
      </c>
      <c r="B156" s="5" t="s">
        <v>498</v>
      </c>
      <c r="C156" s="5" t="s">
        <v>499</v>
      </c>
      <c r="D156" s="5" t="s">
        <v>480</v>
      </c>
      <c r="E156" s="5" t="s">
        <v>63</v>
      </c>
      <c r="F156" s="5" t="str">
        <f t="shared" si="16"/>
        <v>Rice</v>
      </c>
      <c r="G156" s="5" t="s">
        <v>49</v>
      </c>
      <c r="H156" s="5" t="s">
        <v>444</v>
      </c>
      <c r="I156" s="5" t="s">
        <v>40</v>
      </c>
      <c r="J156" s="6">
        <v>20</v>
      </c>
      <c r="K156" s="6">
        <v>520</v>
      </c>
      <c r="L156" s="6">
        <v>388.5</v>
      </c>
      <c r="M156" s="6">
        <f t="shared" si="17"/>
        <v>202020</v>
      </c>
      <c r="N156" s="6">
        <v>4243.2</v>
      </c>
      <c r="O156" s="6">
        <v>370</v>
      </c>
      <c r="P156" s="6">
        <f t="shared" si="18"/>
        <v>192400</v>
      </c>
      <c r="Q156" s="6">
        <f t="shared" si="19"/>
        <v>9620</v>
      </c>
      <c r="R156" s="6">
        <v>10400</v>
      </c>
      <c r="S156" s="6">
        <v>832</v>
      </c>
      <c r="T156" s="6">
        <v>0</v>
      </c>
      <c r="U156" s="6">
        <v>72.8</v>
      </c>
      <c r="V156" s="6">
        <v>0</v>
      </c>
      <c r="W156" s="6">
        <f t="shared" si="20"/>
        <v>4243.2</v>
      </c>
      <c r="X156" s="6">
        <f t="shared" si="21"/>
        <v>11304.8</v>
      </c>
      <c r="Y156" s="6">
        <v>0</v>
      </c>
      <c r="Z156" s="6">
        <f t="shared" si="22"/>
        <v>2558.4000000000005</v>
      </c>
      <c r="AA156" s="6" t="str">
        <f t="shared" si="23"/>
        <v xml:space="preserve"> Profit</v>
      </c>
      <c r="AB156" s="5" t="s">
        <v>500</v>
      </c>
      <c r="AC156" s="5" t="s">
        <v>82</v>
      </c>
      <c r="AD156" s="5" t="s">
        <v>43</v>
      </c>
      <c r="AE156" s="5" t="s">
        <v>185</v>
      </c>
      <c r="AF156" s="5" t="s">
        <v>185</v>
      </c>
      <c r="AG156" s="3">
        <v>45732</v>
      </c>
      <c r="AH156" s="3">
        <v>45738</v>
      </c>
    </row>
    <row r="157" spans="1:34" ht="12" customHeight="1">
      <c r="A157" s="3">
        <v>45729</v>
      </c>
      <c r="B157" s="5" t="s">
        <v>501</v>
      </c>
      <c r="C157" s="5" t="s">
        <v>502</v>
      </c>
      <c r="D157" s="5" t="s">
        <v>480</v>
      </c>
      <c r="E157" s="5" t="s">
        <v>63</v>
      </c>
      <c r="F157" s="5" t="str">
        <f t="shared" si="16"/>
        <v>Rice</v>
      </c>
      <c r="G157" s="5" t="s">
        <v>49</v>
      </c>
      <c r="H157" s="5" t="s">
        <v>444</v>
      </c>
      <c r="I157" s="5" t="s">
        <v>40</v>
      </c>
      <c r="J157" s="6">
        <v>20</v>
      </c>
      <c r="K157" s="6">
        <v>520</v>
      </c>
      <c r="L157" s="6">
        <v>390.6</v>
      </c>
      <c r="M157" s="6">
        <f t="shared" si="17"/>
        <v>203112</v>
      </c>
      <c r="N157" s="6">
        <v>4243.2</v>
      </c>
      <c r="O157" s="6">
        <v>372</v>
      </c>
      <c r="P157" s="6">
        <f t="shared" si="18"/>
        <v>193440</v>
      </c>
      <c r="Q157" s="6">
        <f t="shared" si="19"/>
        <v>9672</v>
      </c>
      <c r="R157" s="6">
        <v>10400</v>
      </c>
      <c r="S157" s="6">
        <v>832</v>
      </c>
      <c r="T157" s="6">
        <v>0</v>
      </c>
      <c r="U157" s="6">
        <v>72.8</v>
      </c>
      <c r="V157" s="6">
        <v>7.15</v>
      </c>
      <c r="W157" s="6">
        <f t="shared" si="20"/>
        <v>4243.2</v>
      </c>
      <c r="X157" s="6">
        <f t="shared" si="21"/>
        <v>11311.949999999999</v>
      </c>
      <c r="Y157" s="6">
        <v>0</v>
      </c>
      <c r="Z157" s="6">
        <f t="shared" si="22"/>
        <v>2603.2500000000009</v>
      </c>
      <c r="AA157" s="6" t="str">
        <f t="shared" si="23"/>
        <v xml:space="preserve"> Profit</v>
      </c>
      <c r="AB157" s="5" t="s">
        <v>493</v>
      </c>
      <c r="AC157" s="5" t="s">
        <v>77</v>
      </c>
      <c r="AD157" s="5" t="s">
        <v>67</v>
      </c>
      <c r="AE157" s="5" t="s">
        <v>161</v>
      </c>
      <c r="AF157" s="5" t="s">
        <v>45</v>
      </c>
      <c r="AG157" s="3">
        <v>45733</v>
      </c>
      <c r="AH157" s="3">
        <v>45739</v>
      </c>
    </row>
    <row r="158" spans="1:34" ht="12" customHeight="1">
      <c r="A158" s="3">
        <v>45730</v>
      </c>
      <c r="B158" s="5" t="s">
        <v>503</v>
      </c>
      <c r="C158" s="5" t="s">
        <v>502</v>
      </c>
      <c r="D158" s="5" t="s">
        <v>415</v>
      </c>
      <c r="E158" s="5" t="s">
        <v>63</v>
      </c>
      <c r="F158" s="5" t="str">
        <f t="shared" si="16"/>
        <v>Rice</v>
      </c>
      <c r="G158" s="5" t="s">
        <v>49</v>
      </c>
      <c r="H158" s="5" t="s">
        <v>444</v>
      </c>
      <c r="I158" s="5" t="s">
        <v>40</v>
      </c>
      <c r="J158" s="6">
        <v>10</v>
      </c>
      <c r="K158" s="6">
        <v>260</v>
      </c>
      <c r="L158" s="6">
        <v>416.85</v>
      </c>
      <c r="M158" s="6">
        <f t="shared" si="17"/>
        <v>108381</v>
      </c>
      <c r="N158" s="6">
        <v>3080.4</v>
      </c>
      <c r="O158" s="6">
        <v>397</v>
      </c>
      <c r="P158" s="6">
        <f t="shared" si="18"/>
        <v>103220</v>
      </c>
      <c r="Q158" s="6">
        <f t="shared" si="19"/>
        <v>5161</v>
      </c>
      <c r="R158" s="6">
        <v>7550</v>
      </c>
      <c r="S158" s="6">
        <v>604</v>
      </c>
      <c r="T158" s="6">
        <v>0</v>
      </c>
      <c r="U158" s="6">
        <v>52.85</v>
      </c>
      <c r="V158" s="6">
        <v>0</v>
      </c>
      <c r="W158" s="6">
        <f t="shared" si="20"/>
        <v>3080.4</v>
      </c>
      <c r="X158" s="6">
        <f t="shared" si="21"/>
        <v>8206.85</v>
      </c>
      <c r="Y158" s="6">
        <v>0</v>
      </c>
      <c r="Z158" s="6">
        <f t="shared" si="22"/>
        <v>34.549999999999727</v>
      </c>
      <c r="AA158" s="6" t="str">
        <f t="shared" si="23"/>
        <v xml:space="preserve"> Profit</v>
      </c>
      <c r="AB158" s="5" t="s">
        <v>999</v>
      </c>
      <c r="AC158" s="5" t="s">
        <v>82</v>
      </c>
      <c r="AD158" s="5" t="s">
        <v>43</v>
      </c>
      <c r="AE158" s="5" t="s">
        <v>185</v>
      </c>
      <c r="AF158" s="5" t="s">
        <v>185</v>
      </c>
      <c r="AG158" s="3">
        <v>45734</v>
      </c>
      <c r="AH158" s="3">
        <v>45740</v>
      </c>
    </row>
    <row r="159" spans="1:34" ht="12" customHeight="1">
      <c r="A159" s="3">
        <v>45731</v>
      </c>
      <c r="B159" s="5" t="s">
        <v>505</v>
      </c>
      <c r="C159" s="5" t="s">
        <v>487</v>
      </c>
      <c r="D159" s="5" t="s">
        <v>415</v>
      </c>
      <c r="E159" s="5" t="s">
        <v>63</v>
      </c>
      <c r="F159" s="5" t="str">
        <f t="shared" si="16"/>
        <v>Rice</v>
      </c>
      <c r="G159" s="5" t="s">
        <v>38</v>
      </c>
      <c r="H159" s="5" t="s">
        <v>444</v>
      </c>
      <c r="I159" s="5" t="s">
        <v>40</v>
      </c>
      <c r="J159" s="6">
        <v>10</v>
      </c>
      <c r="K159" s="6">
        <v>260</v>
      </c>
      <c r="L159" s="6">
        <v>430.5</v>
      </c>
      <c r="M159" s="6">
        <f t="shared" si="17"/>
        <v>111930</v>
      </c>
      <c r="N159" s="6">
        <v>4515.3972000000003</v>
      </c>
      <c r="O159" s="6">
        <v>410</v>
      </c>
      <c r="P159" s="6">
        <f t="shared" si="18"/>
        <v>106600</v>
      </c>
      <c r="Q159" s="6">
        <f t="shared" si="19"/>
        <v>5330</v>
      </c>
      <c r="R159" s="6">
        <v>11067.15</v>
      </c>
      <c r="S159" s="6">
        <v>885.37199999999996</v>
      </c>
      <c r="T159" s="6">
        <v>0</v>
      </c>
      <c r="U159" s="6">
        <v>77.470100000000002</v>
      </c>
      <c r="V159" s="6">
        <v>0</v>
      </c>
      <c r="W159" s="6">
        <f t="shared" si="20"/>
        <v>4515.3972000000003</v>
      </c>
      <c r="X159" s="6">
        <f t="shared" si="21"/>
        <v>12029.992099999999</v>
      </c>
      <c r="Y159" s="6">
        <v>0</v>
      </c>
      <c r="Z159" s="6">
        <f t="shared" si="22"/>
        <v>-2184.5948999999991</v>
      </c>
      <c r="AA159" s="6" t="str">
        <f t="shared" si="23"/>
        <v xml:space="preserve"> Loss</v>
      </c>
      <c r="AB159" s="5" t="s">
        <v>483</v>
      </c>
      <c r="AC159" s="5" t="s">
        <v>42</v>
      </c>
      <c r="AD159" s="5" t="s">
        <v>43</v>
      </c>
      <c r="AE159" s="5" t="s">
        <v>161</v>
      </c>
      <c r="AF159" s="5" t="s">
        <v>45</v>
      </c>
      <c r="AG159" s="3">
        <v>45735</v>
      </c>
      <c r="AH159" s="3">
        <v>45741</v>
      </c>
    </row>
    <row r="160" spans="1:34" ht="12" customHeight="1">
      <c r="A160" s="3">
        <v>45732</v>
      </c>
      <c r="B160" s="5" t="s">
        <v>506</v>
      </c>
      <c r="C160" s="5" t="s">
        <v>507</v>
      </c>
      <c r="D160" s="5" t="s">
        <v>415</v>
      </c>
      <c r="E160" s="5" t="s">
        <v>397</v>
      </c>
      <c r="F160" s="5" t="str">
        <f t="shared" si="16"/>
        <v>Rice</v>
      </c>
      <c r="G160" s="5" t="s">
        <v>38</v>
      </c>
      <c r="H160" s="5" t="s">
        <v>444</v>
      </c>
      <c r="I160" s="5" t="s">
        <v>40</v>
      </c>
      <c r="J160" s="6">
        <v>40</v>
      </c>
      <c r="K160" s="6">
        <v>1040</v>
      </c>
      <c r="L160" s="6">
        <v>408.45</v>
      </c>
      <c r="M160" s="6">
        <f t="shared" si="17"/>
        <v>424788</v>
      </c>
      <c r="N160" s="6">
        <v>17193.141318000002</v>
      </c>
      <c r="O160" s="6">
        <v>389</v>
      </c>
      <c r="P160" s="6">
        <f t="shared" si="18"/>
        <v>404560</v>
      </c>
      <c r="Q160" s="6">
        <f t="shared" si="19"/>
        <v>20228</v>
      </c>
      <c r="R160" s="6">
        <v>42140.052199999998</v>
      </c>
      <c r="S160" s="6">
        <v>3371.2042000000001</v>
      </c>
      <c r="T160" s="6">
        <v>0</v>
      </c>
      <c r="U160" s="6">
        <v>294.98039999999997</v>
      </c>
      <c r="V160" s="6">
        <v>0</v>
      </c>
      <c r="W160" s="6">
        <f t="shared" si="20"/>
        <v>17193.141318000002</v>
      </c>
      <c r="X160" s="6">
        <f t="shared" si="21"/>
        <v>45806.236799999999</v>
      </c>
      <c r="Y160" s="6">
        <v>0</v>
      </c>
      <c r="Z160" s="6">
        <f t="shared" si="22"/>
        <v>-8385.095481999997</v>
      </c>
      <c r="AA160" s="6" t="str">
        <f t="shared" si="23"/>
        <v xml:space="preserve"> Loss</v>
      </c>
      <c r="AB160" s="5" t="s">
        <v>508</v>
      </c>
      <c r="AC160" s="5" t="s">
        <v>42</v>
      </c>
      <c r="AD160" s="5" t="s">
        <v>43</v>
      </c>
      <c r="AE160" s="5" t="s">
        <v>161</v>
      </c>
      <c r="AF160" s="5" t="s">
        <v>45</v>
      </c>
      <c r="AG160" s="3">
        <v>45736</v>
      </c>
      <c r="AH160" s="3">
        <v>45742</v>
      </c>
    </row>
    <row r="161" spans="1:34" ht="12" customHeight="1">
      <c r="A161" s="3">
        <v>45733</v>
      </c>
      <c r="B161" s="5" t="s">
        <v>509</v>
      </c>
      <c r="C161" s="5" t="s">
        <v>510</v>
      </c>
      <c r="D161" s="5" t="s">
        <v>415</v>
      </c>
      <c r="E161" s="5" t="s">
        <v>397</v>
      </c>
      <c r="F161" s="5" t="str">
        <f t="shared" si="16"/>
        <v>Rice</v>
      </c>
      <c r="G161" s="5" t="s">
        <v>38</v>
      </c>
      <c r="H161" s="5" t="s">
        <v>444</v>
      </c>
      <c r="I161" s="5" t="s">
        <v>80</v>
      </c>
      <c r="J161" s="6">
        <v>25</v>
      </c>
      <c r="K161" s="6">
        <v>650</v>
      </c>
      <c r="L161" s="6">
        <v>430.5</v>
      </c>
      <c r="M161" s="6">
        <f t="shared" si="17"/>
        <v>279825</v>
      </c>
      <c r="N161" s="6">
        <v>10752.27441</v>
      </c>
      <c r="O161" s="6">
        <v>410</v>
      </c>
      <c r="P161" s="6">
        <f t="shared" si="18"/>
        <v>266500</v>
      </c>
      <c r="Q161" s="6">
        <f t="shared" si="19"/>
        <v>13325</v>
      </c>
      <c r="R161" s="6">
        <v>26353.613700000002</v>
      </c>
      <c r="S161" s="6">
        <v>0</v>
      </c>
      <c r="T161" s="6">
        <v>0</v>
      </c>
      <c r="U161" s="6">
        <v>184.4753</v>
      </c>
      <c r="V161" s="6">
        <v>0</v>
      </c>
      <c r="W161" s="6">
        <f t="shared" si="20"/>
        <v>10752.27441</v>
      </c>
      <c r="X161" s="6">
        <f t="shared" si="21"/>
        <v>26538.089</v>
      </c>
      <c r="Y161" s="6">
        <v>0</v>
      </c>
      <c r="Z161" s="6">
        <f t="shared" si="22"/>
        <v>-2460.81459</v>
      </c>
      <c r="AA161" s="6" t="str">
        <f t="shared" si="23"/>
        <v xml:space="preserve"> Loss</v>
      </c>
      <c r="AB161" s="5" t="s">
        <v>1000</v>
      </c>
      <c r="AC161" s="5" t="s">
        <v>42</v>
      </c>
      <c r="AD161" s="5" t="s">
        <v>43</v>
      </c>
      <c r="AE161" s="5" t="s">
        <v>161</v>
      </c>
      <c r="AF161" s="5" t="s">
        <v>45</v>
      </c>
      <c r="AG161" s="3">
        <v>45737</v>
      </c>
      <c r="AH161" s="3">
        <v>45743</v>
      </c>
    </row>
    <row r="162" spans="1:34" ht="12" customHeight="1">
      <c r="A162" s="3">
        <v>45734</v>
      </c>
      <c r="B162" s="5" t="s">
        <v>511</v>
      </c>
      <c r="C162" s="5" t="s">
        <v>502</v>
      </c>
      <c r="D162" s="5" t="s">
        <v>415</v>
      </c>
      <c r="E162" s="5" t="s">
        <v>397</v>
      </c>
      <c r="F162" s="5" t="str">
        <f t="shared" si="16"/>
        <v>Rice</v>
      </c>
      <c r="G162" s="5" t="s">
        <v>49</v>
      </c>
      <c r="H162" s="5" t="s">
        <v>444</v>
      </c>
      <c r="I162" s="5" t="s">
        <v>80</v>
      </c>
      <c r="J162" s="6">
        <v>15</v>
      </c>
      <c r="K162" s="6">
        <v>390</v>
      </c>
      <c r="L162" s="6">
        <v>390.6</v>
      </c>
      <c r="M162" s="6">
        <f t="shared" si="17"/>
        <v>152334</v>
      </c>
      <c r="N162" s="6">
        <v>3182.4</v>
      </c>
      <c r="O162" s="6">
        <v>372</v>
      </c>
      <c r="P162" s="6">
        <f t="shared" si="18"/>
        <v>145080</v>
      </c>
      <c r="Q162" s="6">
        <f t="shared" si="19"/>
        <v>7254</v>
      </c>
      <c r="R162" s="6">
        <v>7800</v>
      </c>
      <c r="S162" s="6">
        <v>0</v>
      </c>
      <c r="T162" s="6">
        <v>0</v>
      </c>
      <c r="U162" s="6">
        <v>54.6</v>
      </c>
      <c r="V162" s="6">
        <v>0</v>
      </c>
      <c r="W162" s="6">
        <f t="shared" si="20"/>
        <v>3182.4</v>
      </c>
      <c r="X162" s="6">
        <f t="shared" si="21"/>
        <v>7854.6</v>
      </c>
      <c r="Y162" s="6">
        <v>0</v>
      </c>
      <c r="Z162" s="6">
        <f t="shared" si="22"/>
        <v>2581.7999999999997</v>
      </c>
      <c r="AA162" s="6" t="str">
        <f t="shared" si="23"/>
        <v xml:space="preserve"> Profit</v>
      </c>
      <c r="AB162" s="5" t="s">
        <v>495</v>
      </c>
      <c r="AC162" s="5" t="s">
        <v>42</v>
      </c>
      <c r="AD162" s="5" t="s">
        <v>43</v>
      </c>
      <c r="AE162" s="5" t="s">
        <v>161</v>
      </c>
      <c r="AF162" s="5" t="s">
        <v>45</v>
      </c>
      <c r="AG162" s="3">
        <v>45738</v>
      </c>
      <c r="AH162" s="3">
        <v>45744</v>
      </c>
    </row>
    <row r="163" spans="1:34" ht="12" customHeight="1">
      <c r="A163" s="3">
        <v>45735</v>
      </c>
      <c r="B163" s="5" t="s">
        <v>512</v>
      </c>
      <c r="C163" s="5" t="s">
        <v>513</v>
      </c>
      <c r="D163" s="5" t="s">
        <v>415</v>
      </c>
      <c r="E163" s="5" t="s">
        <v>63</v>
      </c>
      <c r="F163" s="5" t="str">
        <f t="shared" si="16"/>
        <v>Rice</v>
      </c>
      <c r="G163" s="5" t="s">
        <v>86</v>
      </c>
      <c r="H163" s="5" t="s">
        <v>444</v>
      </c>
      <c r="I163" s="5" t="s">
        <v>80</v>
      </c>
      <c r="J163" s="6">
        <v>10</v>
      </c>
      <c r="K163" s="6">
        <v>260</v>
      </c>
      <c r="L163" s="6">
        <v>391.65</v>
      </c>
      <c r="M163" s="6">
        <f t="shared" si="17"/>
        <v>101829</v>
      </c>
      <c r="N163" s="6">
        <v>2121.6</v>
      </c>
      <c r="O163" s="6">
        <v>373</v>
      </c>
      <c r="P163" s="6">
        <f t="shared" si="18"/>
        <v>96980</v>
      </c>
      <c r="Q163" s="6">
        <f t="shared" si="19"/>
        <v>4849</v>
      </c>
      <c r="R163" s="6">
        <v>5200</v>
      </c>
      <c r="S163" s="6">
        <v>0</v>
      </c>
      <c r="T163" s="6">
        <v>0</v>
      </c>
      <c r="U163" s="6">
        <v>36.4</v>
      </c>
      <c r="V163" s="6">
        <v>0</v>
      </c>
      <c r="W163" s="6">
        <f t="shared" si="20"/>
        <v>2121.6</v>
      </c>
      <c r="X163" s="6">
        <f t="shared" si="21"/>
        <v>5236.3999999999996</v>
      </c>
      <c r="Y163" s="6">
        <v>0</v>
      </c>
      <c r="Z163" s="6">
        <f t="shared" si="22"/>
        <v>1734.2000000000003</v>
      </c>
      <c r="AA163" s="6" t="str">
        <f t="shared" si="23"/>
        <v xml:space="preserve"> Profit</v>
      </c>
      <c r="AB163" s="5" t="s">
        <v>1001</v>
      </c>
      <c r="AC163" s="5" t="s">
        <v>184</v>
      </c>
      <c r="AD163" s="5" t="s">
        <v>67</v>
      </c>
      <c r="AE163" s="5" t="s">
        <v>114</v>
      </c>
      <c r="AF163" s="5" t="s">
        <v>115</v>
      </c>
      <c r="AG163" s="3">
        <v>45739</v>
      </c>
      <c r="AH163" s="3">
        <v>45745</v>
      </c>
    </row>
    <row r="164" spans="1:34" ht="12" customHeight="1">
      <c r="A164" s="3">
        <v>45736</v>
      </c>
      <c r="B164" s="5" t="s">
        <v>515</v>
      </c>
      <c r="C164" s="5" t="s">
        <v>516</v>
      </c>
      <c r="D164" s="5" t="s">
        <v>480</v>
      </c>
      <c r="E164" s="5" t="s">
        <v>63</v>
      </c>
      <c r="F164" s="5" t="str">
        <f t="shared" si="16"/>
        <v>Rice</v>
      </c>
      <c r="G164" s="5" t="s">
        <v>49</v>
      </c>
      <c r="H164" s="5" t="s">
        <v>444</v>
      </c>
      <c r="I164" s="5" t="s">
        <v>80</v>
      </c>
      <c r="J164" s="6">
        <v>15</v>
      </c>
      <c r="K164" s="6">
        <v>390</v>
      </c>
      <c r="L164" s="6">
        <v>388.5</v>
      </c>
      <c r="M164" s="6">
        <f t="shared" si="17"/>
        <v>151515</v>
      </c>
      <c r="N164" s="6">
        <v>3182.4</v>
      </c>
      <c r="O164" s="6">
        <v>370</v>
      </c>
      <c r="P164" s="6">
        <f t="shared" si="18"/>
        <v>144300</v>
      </c>
      <c r="Q164" s="6">
        <f t="shared" si="19"/>
        <v>7215</v>
      </c>
      <c r="R164" s="6">
        <v>7800</v>
      </c>
      <c r="S164" s="6">
        <v>0</v>
      </c>
      <c r="T164" s="6">
        <v>0</v>
      </c>
      <c r="U164" s="6">
        <v>54.6</v>
      </c>
      <c r="V164" s="6">
        <v>0</v>
      </c>
      <c r="W164" s="6">
        <f t="shared" si="20"/>
        <v>3182.4</v>
      </c>
      <c r="X164" s="6">
        <f t="shared" si="21"/>
        <v>7854.6</v>
      </c>
      <c r="Y164" s="6">
        <v>0</v>
      </c>
      <c r="Z164" s="6">
        <f t="shared" si="22"/>
        <v>2542.7999999999997</v>
      </c>
      <c r="AA164" s="6" t="str">
        <f t="shared" si="23"/>
        <v xml:space="preserve"> Profit</v>
      </c>
      <c r="AB164" s="5" t="s">
        <v>517</v>
      </c>
      <c r="AC164" s="5" t="s">
        <v>184</v>
      </c>
      <c r="AD164" s="5" t="s">
        <v>67</v>
      </c>
      <c r="AE164" s="5" t="s">
        <v>114</v>
      </c>
      <c r="AF164" s="5" t="s">
        <v>115</v>
      </c>
      <c r="AG164" s="3">
        <v>45740</v>
      </c>
      <c r="AH164" s="3">
        <v>45746</v>
      </c>
    </row>
    <row r="165" spans="1:34" ht="12" customHeight="1">
      <c r="A165" s="3">
        <v>45737</v>
      </c>
      <c r="B165" s="5" t="s">
        <v>518</v>
      </c>
      <c r="C165" s="5" t="s">
        <v>487</v>
      </c>
      <c r="D165" s="5" t="s">
        <v>519</v>
      </c>
      <c r="E165" s="5" t="s">
        <v>63</v>
      </c>
      <c r="F165" s="5" t="str">
        <f t="shared" si="16"/>
        <v>Rice</v>
      </c>
      <c r="G165" s="5" t="s">
        <v>38</v>
      </c>
      <c r="H165" s="5" t="s">
        <v>444</v>
      </c>
      <c r="I165" s="5" t="s">
        <v>80</v>
      </c>
      <c r="J165" s="6">
        <v>10</v>
      </c>
      <c r="K165" s="6">
        <v>260</v>
      </c>
      <c r="L165" s="6">
        <v>430.5</v>
      </c>
      <c r="M165" s="6">
        <f t="shared" si="17"/>
        <v>111930</v>
      </c>
      <c r="N165" s="6">
        <v>4286.9171999999999</v>
      </c>
      <c r="O165" s="6">
        <v>410</v>
      </c>
      <c r="P165" s="6">
        <f t="shared" si="18"/>
        <v>106600</v>
      </c>
      <c r="Q165" s="6">
        <f t="shared" si="19"/>
        <v>5330</v>
      </c>
      <c r="R165" s="6">
        <v>10507.15</v>
      </c>
      <c r="S165" s="6">
        <v>0</v>
      </c>
      <c r="T165" s="6">
        <v>0</v>
      </c>
      <c r="U165" s="6">
        <v>73.55</v>
      </c>
      <c r="V165" s="6">
        <v>0</v>
      </c>
      <c r="W165" s="6">
        <f t="shared" si="20"/>
        <v>4286.9171999999999</v>
      </c>
      <c r="X165" s="6">
        <f t="shared" si="21"/>
        <v>10580.699999999999</v>
      </c>
      <c r="Y165" s="6">
        <v>0</v>
      </c>
      <c r="Z165" s="6">
        <f t="shared" si="22"/>
        <v>-963.78279999999904</v>
      </c>
      <c r="AA165" s="6" t="str">
        <f t="shared" si="23"/>
        <v xml:space="preserve"> Loss</v>
      </c>
      <c r="AB165" s="5" t="s">
        <v>1003</v>
      </c>
      <c r="AC165" s="5" t="s">
        <v>82</v>
      </c>
      <c r="AD165" s="5" t="s">
        <v>88</v>
      </c>
      <c r="AE165" s="5" t="s">
        <v>161</v>
      </c>
      <c r="AF165" s="5" t="s">
        <v>45</v>
      </c>
      <c r="AG165" s="3">
        <v>45741</v>
      </c>
      <c r="AH165" s="3">
        <v>45747</v>
      </c>
    </row>
    <row r="166" spans="1:34" ht="12" customHeight="1">
      <c r="A166" s="3">
        <v>45738</v>
      </c>
      <c r="B166" s="5" t="s">
        <v>520</v>
      </c>
      <c r="C166" s="5" t="s">
        <v>487</v>
      </c>
      <c r="D166" s="5" t="s">
        <v>519</v>
      </c>
      <c r="E166" s="5" t="s">
        <v>397</v>
      </c>
      <c r="F166" s="5" t="str">
        <f t="shared" si="16"/>
        <v>Rice</v>
      </c>
      <c r="G166" s="5" t="s">
        <v>38</v>
      </c>
      <c r="H166" s="5" t="s">
        <v>444</v>
      </c>
      <c r="I166" s="5" t="s">
        <v>40</v>
      </c>
      <c r="J166" s="6">
        <v>10</v>
      </c>
      <c r="K166" s="6">
        <v>260</v>
      </c>
      <c r="L166" s="6">
        <v>430.5</v>
      </c>
      <c r="M166" s="6">
        <f t="shared" si="17"/>
        <v>111930</v>
      </c>
      <c r="N166" s="6">
        <v>4284</v>
      </c>
      <c r="O166" s="6">
        <v>410</v>
      </c>
      <c r="P166" s="6">
        <f t="shared" si="18"/>
        <v>106600</v>
      </c>
      <c r="Q166" s="6">
        <f t="shared" si="19"/>
        <v>5330</v>
      </c>
      <c r="R166" s="6">
        <v>10500</v>
      </c>
      <c r="S166" s="6">
        <v>840</v>
      </c>
      <c r="T166" s="6">
        <v>0</v>
      </c>
      <c r="U166" s="6">
        <v>73.5</v>
      </c>
      <c r="V166" s="6">
        <v>0</v>
      </c>
      <c r="W166" s="6">
        <f t="shared" si="20"/>
        <v>4284</v>
      </c>
      <c r="X166" s="6">
        <f t="shared" si="21"/>
        <v>11413.5</v>
      </c>
      <c r="Y166" s="6">
        <v>0</v>
      </c>
      <c r="Z166" s="6">
        <f t="shared" si="22"/>
        <v>-1799.5</v>
      </c>
      <c r="AA166" s="6" t="str">
        <f t="shared" si="23"/>
        <v xml:space="preserve"> Loss</v>
      </c>
      <c r="AB166" s="5" t="s">
        <v>504</v>
      </c>
      <c r="AC166" s="5" t="s">
        <v>82</v>
      </c>
      <c r="AD166" s="5" t="s">
        <v>88</v>
      </c>
      <c r="AE166" s="5" t="s">
        <v>161</v>
      </c>
      <c r="AF166" s="5" t="s">
        <v>45</v>
      </c>
      <c r="AG166" s="3">
        <v>45742</v>
      </c>
      <c r="AH166" s="3">
        <v>45748</v>
      </c>
    </row>
    <row r="167" spans="1:34" ht="12" customHeight="1">
      <c r="A167" s="3">
        <v>45739</v>
      </c>
      <c r="B167" s="5" t="s">
        <v>521</v>
      </c>
      <c r="C167" s="5" t="s">
        <v>522</v>
      </c>
      <c r="D167" s="5" t="s">
        <v>523</v>
      </c>
      <c r="E167" s="5" t="s">
        <v>397</v>
      </c>
      <c r="F167" s="5" t="str">
        <f t="shared" si="16"/>
        <v>Rice</v>
      </c>
      <c r="G167" s="5" t="s">
        <v>38</v>
      </c>
      <c r="H167" s="5" t="s">
        <v>342</v>
      </c>
      <c r="I167" s="5" t="s">
        <v>58</v>
      </c>
      <c r="J167" s="6">
        <v>2</v>
      </c>
      <c r="K167" s="6">
        <v>50</v>
      </c>
      <c r="L167" s="6">
        <v>1312.5</v>
      </c>
      <c r="M167" s="6">
        <f t="shared" si="17"/>
        <v>65625</v>
      </c>
      <c r="N167" s="6">
        <v>0</v>
      </c>
      <c r="O167" s="6">
        <v>1250</v>
      </c>
      <c r="P167" s="6">
        <f t="shared" si="18"/>
        <v>62500</v>
      </c>
      <c r="Q167" s="6">
        <f t="shared" si="19"/>
        <v>3125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f t="shared" si="20"/>
        <v>0</v>
      </c>
      <c r="X167" s="6">
        <f t="shared" si="21"/>
        <v>0</v>
      </c>
      <c r="Y167" s="6">
        <v>0</v>
      </c>
      <c r="Z167" s="6">
        <f t="shared" si="22"/>
        <v>3125</v>
      </c>
      <c r="AA167" s="6" t="str">
        <f t="shared" si="23"/>
        <v xml:space="preserve"> Profit</v>
      </c>
      <c r="AB167" s="5" t="s">
        <v>524</v>
      </c>
      <c r="AC167" s="5" t="s">
        <v>82</v>
      </c>
      <c r="AD167" s="5" t="s">
        <v>88</v>
      </c>
      <c r="AE167" s="5" t="s">
        <v>114</v>
      </c>
      <c r="AF167" s="5" t="s">
        <v>115</v>
      </c>
      <c r="AG167" s="3">
        <v>45743</v>
      </c>
      <c r="AH167" s="3">
        <v>45749</v>
      </c>
    </row>
    <row r="168" spans="1:34" ht="12" customHeight="1">
      <c r="A168" s="3">
        <v>45740</v>
      </c>
      <c r="B168" s="5" t="s">
        <v>525</v>
      </c>
      <c r="C168" s="5" t="s">
        <v>526</v>
      </c>
      <c r="D168" s="5" t="s">
        <v>527</v>
      </c>
      <c r="E168" s="5" t="s">
        <v>341</v>
      </c>
      <c r="F168" s="5" t="str">
        <f t="shared" si="16"/>
        <v>Lentils</v>
      </c>
      <c r="G168" s="5" t="s">
        <v>49</v>
      </c>
      <c r="H168" s="5" t="s">
        <v>64</v>
      </c>
      <c r="I168" s="5" t="s">
        <v>80</v>
      </c>
      <c r="J168" s="6">
        <v>5</v>
      </c>
      <c r="K168" s="6">
        <v>125</v>
      </c>
      <c r="L168" s="6">
        <v>845.25</v>
      </c>
      <c r="M168" s="6">
        <f t="shared" si="17"/>
        <v>105656.25</v>
      </c>
      <c r="N168" s="6">
        <v>1380.380586</v>
      </c>
      <c r="O168" s="6">
        <v>805</v>
      </c>
      <c r="P168" s="6">
        <f t="shared" si="18"/>
        <v>100625</v>
      </c>
      <c r="Q168" s="6">
        <f t="shared" si="19"/>
        <v>5031.25</v>
      </c>
      <c r="R168" s="6">
        <v>3383.2856999999999</v>
      </c>
      <c r="S168" s="6">
        <v>0</v>
      </c>
      <c r="T168" s="6">
        <v>0</v>
      </c>
      <c r="U168" s="6">
        <v>23.683</v>
      </c>
      <c r="V168" s="6">
        <v>8.57</v>
      </c>
      <c r="W168" s="6">
        <f t="shared" si="20"/>
        <v>1380.380586</v>
      </c>
      <c r="X168" s="6">
        <f t="shared" si="21"/>
        <v>3415.5387000000001</v>
      </c>
      <c r="Y168" s="6">
        <v>0</v>
      </c>
      <c r="Z168" s="6">
        <f t="shared" si="22"/>
        <v>2996.0918860000002</v>
      </c>
      <c r="AA168" s="6" t="str">
        <f t="shared" si="23"/>
        <v xml:space="preserve"> Profit</v>
      </c>
      <c r="AB168" s="5" t="s">
        <v>1002</v>
      </c>
      <c r="AC168" s="5" t="s">
        <v>66</v>
      </c>
      <c r="AD168" s="5" t="s">
        <v>43</v>
      </c>
      <c r="AE168" s="5" t="s">
        <v>114</v>
      </c>
      <c r="AF168" s="5" t="s">
        <v>115</v>
      </c>
      <c r="AG168" s="3">
        <v>45744</v>
      </c>
      <c r="AH168" s="3">
        <v>45750</v>
      </c>
    </row>
    <row r="169" spans="1:34" ht="12" customHeight="1">
      <c r="A169" s="3">
        <v>45741</v>
      </c>
      <c r="B169" s="5" t="s">
        <v>529</v>
      </c>
      <c r="C169" s="5" t="s">
        <v>526</v>
      </c>
      <c r="D169" s="5" t="s">
        <v>527</v>
      </c>
      <c r="E169" s="5" t="s">
        <v>341</v>
      </c>
      <c r="F169" s="5" t="str">
        <f t="shared" si="16"/>
        <v>Lentils</v>
      </c>
      <c r="G169" s="5" t="s">
        <v>49</v>
      </c>
      <c r="H169" s="5" t="s">
        <v>64</v>
      </c>
      <c r="I169" s="5" t="s">
        <v>80</v>
      </c>
      <c r="J169" s="6">
        <v>5</v>
      </c>
      <c r="K169" s="6">
        <v>125</v>
      </c>
      <c r="L169" s="6">
        <v>845.25</v>
      </c>
      <c r="M169" s="6">
        <f t="shared" si="17"/>
        <v>105656.25</v>
      </c>
      <c r="N169" s="6">
        <v>1309.68</v>
      </c>
      <c r="O169" s="6">
        <v>805</v>
      </c>
      <c r="P169" s="6">
        <f t="shared" si="18"/>
        <v>100625</v>
      </c>
      <c r="Q169" s="6">
        <f t="shared" si="19"/>
        <v>5031.25</v>
      </c>
      <c r="R169" s="6">
        <v>3210</v>
      </c>
      <c r="S169" s="6">
        <v>0</v>
      </c>
      <c r="T169" s="6">
        <v>0</v>
      </c>
      <c r="U169" s="6">
        <v>22.47</v>
      </c>
      <c r="V169" s="6">
        <v>7.15</v>
      </c>
      <c r="W169" s="6">
        <f t="shared" si="20"/>
        <v>1309.68</v>
      </c>
      <c r="X169" s="6">
        <f t="shared" si="21"/>
        <v>3239.62</v>
      </c>
      <c r="Y169" s="6">
        <v>0</v>
      </c>
      <c r="Z169" s="6">
        <f t="shared" si="22"/>
        <v>3101.3100000000004</v>
      </c>
      <c r="AA169" s="6" t="str">
        <f t="shared" si="23"/>
        <v xml:space="preserve"> Profit</v>
      </c>
      <c r="AB169" s="5" t="s">
        <v>528</v>
      </c>
      <c r="AC169" s="5" t="s">
        <v>82</v>
      </c>
      <c r="AD169" s="5" t="s">
        <v>88</v>
      </c>
      <c r="AE169" s="5" t="s">
        <v>114</v>
      </c>
      <c r="AF169" s="5" t="s">
        <v>115</v>
      </c>
      <c r="AG169" s="3">
        <v>45745</v>
      </c>
      <c r="AH169" s="3">
        <v>45751</v>
      </c>
    </row>
    <row r="170" spans="1:34" ht="12" customHeight="1">
      <c r="A170" s="3">
        <v>45742</v>
      </c>
      <c r="B170" s="5" t="s">
        <v>530</v>
      </c>
      <c r="C170" s="5" t="s">
        <v>531</v>
      </c>
      <c r="D170" s="5" t="s">
        <v>532</v>
      </c>
      <c r="E170" s="5" t="s">
        <v>341</v>
      </c>
      <c r="F170" s="5" t="str">
        <f t="shared" si="16"/>
        <v>Lentils</v>
      </c>
      <c r="G170" s="5" t="s">
        <v>533</v>
      </c>
      <c r="H170" s="5" t="s">
        <v>64</v>
      </c>
      <c r="I170" s="5" t="s">
        <v>58</v>
      </c>
      <c r="J170" s="6">
        <v>0</v>
      </c>
      <c r="K170" s="6">
        <v>2000</v>
      </c>
      <c r="L170" s="6">
        <v>659.4</v>
      </c>
      <c r="M170" s="6">
        <f t="shared" si="17"/>
        <v>1318800</v>
      </c>
      <c r="N170" s="6">
        <v>0</v>
      </c>
      <c r="O170" s="6">
        <v>628</v>
      </c>
      <c r="P170" s="6">
        <f t="shared" si="18"/>
        <v>1256000</v>
      </c>
      <c r="Q170" s="6">
        <f t="shared" si="19"/>
        <v>62800</v>
      </c>
      <c r="R170" s="6">
        <v>0</v>
      </c>
      <c r="S170" s="6">
        <v>0</v>
      </c>
      <c r="T170" s="6">
        <v>0</v>
      </c>
      <c r="U170" s="6">
        <v>0</v>
      </c>
      <c r="V170" s="6">
        <v>31.5</v>
      </c>
      <c r="W170" s="6">
        <f t="shared" si="20"/>
        <v>0</v>
      </c>
      <c r="X170" s="6">
        <f t="shared" si="21"/>
        <v>31.5</v>
      </c>
      <c r="Y170" s="6">
        <v>0</v>
      </c>
      <c r="Z170" s="6">
        <f t="shared" si="22"/>
        <v>62768.5</v>
      </c>
      <c r="AA170" s="6" t="str">
        <f t="shared" si="23"/>
        <v xml:space="preserve"> Profit</v>
      </c>
      <c r="AB170" s="5" t="s">
        <v>1004</v>
      </c>
      <c r="AC170" s="5" t="s">
        <v>82</v>
      </c>
      <c r="AD170" s="5" t="s">
        <v>88</v>
      </c>
      <c r="AE170" s="5" t="s">
        <v>44</v>
      </c>
      <c r="AF170" s="5" t="s">
        <v>115</v>
      </c>
      <c r="AG170" s="3">
        <v>45746</v>
      </c>
      <c r="AH170" s="3">
        <v>45752</v>
      </c>
    </row>
    <row r="171" spans="1:34" ht="12" customHeight="1">
      <c r="A171" s="3">
        <v>45743</v>
      </c>
      <c r="B171" s="5" t="s">
        <v>534</v>
      </c>
      <c r="C171" s="5" t="s">
        <v>535</v>
      </c>
      <c r="D171" s="5" t="s">
        <v>536</v>
      </c>
      <c r="E171" s="5" t="s">
        <v>341</v>
      </c>
      <c r="F171" s="5" t="str">
        <f t="shared" si="16"/>
        <v>Lentils</v>
      </c>
      <c r="G171" s="5" t="s">
        <v>49</v>
      </c>
      <c r="H171" s="5" t="s">
        <v>64</v>
      </c>
      <c r="I171" s="5" t="s">
        <v>58</v>
      </c>
      <c r="J171" s="6">
        <v>0</v>
      </c>
      <c r="K171" s="6">
        <v>25</v>
      </c>
      <c r="L171" s="6">
        <v>905.1</v>
      </c>
      <c r="M171" s="6">
        <f t="shared" si="17"/>
        <v>22627.5</v>
      </c>
      <c r="N171" s="6">
        <v>0</v>
      </c>
      <c r="O171" s="6">
        <v>862</v>
      </c>
      <c r="P171" s="6">
        <f t="shared" si="18"/>
        <v>21550</v>
      </c>
      <c r="Q171" s="6">
        <f t="shared" si="19"/>
        <v>1077.5</v>
      </c>
      <c r="R171" s="6">
        <v>0</v>
      </c>
      <c r="S171" s="6">
        <v>0</v>
      </c>
      <c r="T171" s="6">
        <v>0</v>
      </c>
      <c r="U171" s="6">
        <v>0</v>
      </c>
      <c r="V171" s="6">
        <v>45</v>
      </c>
      <c r="W171" s="6">
        <f t="shared" si="20"/>
        <v>0</v>
      </c>
      <c r="X171" s="6">
        <f t="shared" si="21"/>
        <v>45</v>
      </c>
      <c r="Y171" s="6">
        <v>0</v>
      </c>
      <c r="Z171" s="6">
        <f t="shared" si="22"/>
        <v>1032.5</v>
      </c>
      <c r="AA171" s="6" t="str">
        <f t="shared" si="23"/>
        <v xml:space="preserve"> Profit</v>
      </c>
      <c r="AB171" s="5" t="s">
        <v>537</v>
      </c>
      <c r="AC171" s="5" t="s">
        <v>168</v>
      </c>
      <c r="AD171" s="5" t="s">
        <v>43</v>
      </c>
      <c r="AE171" s="5" t="s">
        <v>161</v>
      </c>
      <c r="AF171" s="5" t="s">
        <v>45</v>
      </c>
      <c r="AG171" s="3">
        <v>45747</v>
      </c>
      <c r="AH171" s="3">
        <v>45753</v>
      </c>
    </row>
    <row r="172" spans="1:34" ht="12" customHeight="1">
      <c r="A172" s="3">
        <v>45744</v>
      </c>
      <c r="B172" s="5" t="s">
        <v>538</v>
      </c>
      <c r="C172" s="5" t="s">
        <v>539</v>
      </c>
      <c r="D172" s="5" t="s">
        <v>536</v>
      </c>
      <c r="E172" s="5" t="s">
        <v>397</v>
      </c>
      <c r="F172" s="5" t="str">
        <f t="shared" si="16"/>
        <v>Rice</v>
      </c>
      <c r="G172" s="5" t="s">
        <v>49</v>
      </c>
      <c r="H172" s="5" t="s">
        <v>342</v>
      </c>
      <c r="I172" s="5" t="s">
        <v>80</v>
      </c>
      <c r="J172" s="6">
        <v>5</v>
      </c>
      <c r="K172" s="6">
        <v>125</v>
      </c>
      <c r="L172" s="6">
        <v>861</v>
      </c>
      <c r="M172" s="6">
        <f t="shared" si="17"/>
        <v>107625</v>
      </c>
      <c r="N172" s="6">
        <v>1556.0310119999999</v>
      </c>
      <c r="O172" s="6">
        <v>820</v>
      </c>
      <c r="P172" s="6">
        <f t="shared" si="18"/>
        <v>102500</v>
      </c>
      <c r="Q172" s="6">
        <f t="shared" si="19"/>
        <v>5125</v>
      </c>
      <c r="R172" s="6">
        <v>3813.8015999999998</v>
      </c>
      <c r="S172" s="6">
        <v>0</v>
      </c>
      <c r="T172" s="6">
        <v>0</v>
      </c>
      <c r="U172" s="6">
        <v>26.6966</v>
      </c>
      <c r="V172" s="6">
        <v>0</v>
      </c>
      <c r="W172" s="6">
        <f t="shared" si="20"/>
        <v>1556.0310119999999</v>
      </c>
      <c r="X172" s="6">
        <f t="shared" si="21"/>
        <v>3840.4982</v>
      </c>
      <c r="Y172" s="6">
        <v>0</v>
      </c>
      <c r="Z172" s="6">
        <f t="shared" si="22"/>
        <v>2840.5328119999999</v>
      </c>
      <c r="AA172" s="6" t="str">
        <f t="shared" si="23"/>
        <v xml:space="preserve"> Profit</v>
      </c>
      <c r="AB172" s="5" t="s">
        <v>1005</v>
      </c>
      <c r="AC172" s="5" t="s">
        <v>541</v>
      </c>
      <c r="AD172" s="5" t="s">
        <v>542</v>
      </c>
      <c r="AE172" s="5" t="s">
        <v>161</v>
      </c>
      <c r="AF172" s="5" t="s">
        <v>45</v>
      </c>
      <c r="AG172" s="3">
        <v>45748</v>
      </c>
      <c r="AH172" s="3">
        <v>45754</v>
      </c>
    </row>
    <row r="173" spans="1:34" ht="12" customHeight="1">
      <c r="A173" s="3">
        <v>45745</v>
      </c>
      <c r="B173" s="5" t="s">
        <v>543</v>
      </c>
      <c r="C173" s="5" t="s">
        <v>544</v>
      </c>
      <c r="D173" s="5" t="s">
        <v>545</v>
      </c>
      <c r="E173" s="5" t="s">
        <v>341</v>
      </c>
      <c r="F173" s="5" t="str">
        <f t="shared" si="16"/>
        <v>Lentils</v>
      </c>
      <c r="G173" s="5" t="s">
        <v>533</v>
      </c>
      <c r="H173" s="5" t="s">
        <v>64</v>
      </c>
      <c r="I173" s="5" t="s">
        <v>80</v>
      </c>
      <c r="J173" s="6">
        <v>10</v>
      </c>
      <c r="K173" s="6">
        <v>250</v>
      </c>
      <c r="L173" s="6">
        <v>861</v>
      </c>
      <c r="M173" s="6">
        <f t="shared" si="17"/>
        <v>215250</v>
      </c>
      <c r="N173" s="6">
        <v>3774</v>
      </c>
      <c r="O173" s="6">
        <v>820</v>
      </c>
      <c r="P173" s="6">
        <f t="shared" si="18"/>
        <v>205000</v>
      </c>
      <c r="Q173" s="6">
        <f t="shared" si="19"/>
        <v>10250</v>
      </c>
      <c r="R173" s="6">
        <v>9250</v>
      </c>
      <c r="S173" s="6">
        <v>0</v>
      </c>
      <c r="T173" s="6">
        <v>0</v>
      </c>
      <c r="U173" s="6">
        <v>64.75</v>
      </c>
      <c r="V173" s="6">
        <v>0</v>
      </c>
      <c r="W173" s="6">
        <f t="shared" si="20"/>
        <v>3774</v>
      </c>
      <c r="X173" s="6">
        <f t="shared" si="21"/>
        <v>9314.75</v>
      </c>
      <c r="Y173" s="6">
        <v>0</v>
      </c>
      <c r="Z173" s="6">
        <f t="shared" si="22"/>
        <v>4709.25</v>
      </c>
      <c r="AA173" s="6" t="str">
        <f t="shared" si="23"/>
        <v xml:space="preserve"> Profit</v>
      </c>
      <c r="AB173" s="5" t="s">
        <v>540</v>
      </c>
      <c r="AC173" s="5" t="s">
        <v>66</v>
      </c>
      <c r="AD173" s="5" t="s">
        <v>67</v>
      </c>
      <c r="AE173" s="5" t="s">
        <v>161</v>
      </c>
      <c r="AF173" s="5" t="s">
        <v>45</v>
      </c>
      <c r="AG173" s="3">
        <v>45749</v>
      </c>
      <c r="AH173" s="3">
        <v>45755</v>
      </c>
    </row>
    <row r="174" spans="1:34" ht="12" customHeight="1">
      <c r="A174" s="3">
        <v>45746</v>
      </c>
      <c r="B174" s="5" t="s">
        <v>546</v>
      </c>
      <c r="C174" s="5" t="s">
        <v>547</v>
      </c>
      <c r="D174" s="5" t="s">
        <v>545</v>
      </c>
      <c r="E174" s="5" t="s">
        <v>341</v>
      </c>
      <c r="F174" s="5" t="str">
        <f t="shared" si="16"/>
        <v>Lentils</v>
      </c>
      <c r="G174" s="5" t="s">
        <v>533</v>
      </c>
      <c r="H174" s="5" t="s">
        <v>64</v>
      </c>
      <c r="I174" s="5" t="s">
        <v>58</v>
      </c>
      <c r="J174" s="6">
        <v>0</v>
      </c>
      <c r="K174" s="6">
        <v>2000</v>
      </c>
      <c r="L174" s="6">
        <v>661.5</v>
      </c>
      <c r="M174" s="6">
        <f t="shared" si="17"/>
        <v>1323000</v>
      </c>
      <c r="N174" s="6">
        <v>0</v>
      </c>
      <c r="O174" s="6">
        <v>630</v>
      </c>
      <c r="P174" s="6">
        <f t="shared" si="18"/>
        <v>1260000</v>
      </c>
      <c r="Q174" s="6">
        <f t="shared" si="19"/>
        <v>63000</v>
      </c>
      <c r="R174" s="6">
        <v>0</v>
      </c>
      <c r="S174" s="6">
        <v>0</v>
      </c>
      <c r="T174" s="6">
        <v>0</v>
      </c>
      <c r="U174" s="6">
        <v>0</v>
      </c>
      <c r="V174" s="6">
        <v>36.5</v>
      </c>
      <c r="W174" s="6">
        <f t="shared" si="20"/>
        <v>0</v>
      </c>
      <c r="X174" s="6">
        <f t="shared" si="21"/>
        <v>36.5</v>
      </c>
      <c r="Y174" s="6">
        <v>0</v>
      </c>
      <c r="Z174" s="6">
        <f t="shared" si="22"/>
        <v>62963.5</v>
      </c>
      <c r="AA174" s="6" t="str">
        <f t="shared" si="23"/>
        <v xml:space="preserve"> Profit</v>
      </c>
      <c r="AB174" s="5" t="s">
        <v>548</v>
      </c>
      <c r="AC174" s="5" t="s">
        <v>168</v>
      </c>
      <c r="AD174" s="5" t="s">
        <v>43</v>
      </c>
      <c r="AE174" s="5" t="s">
        <v>161</v>
      </c>
      <c r="AF174" s="5" t="s">
        <v>45</v>
      </c>
      <c r="AG174" s="3">
        <v>45750</v>
      </c>
      <c r="AH174" s="3">
        <v>45756</v>
      </c>
    </row>
    <row r="175" spans="1:34" ht="12" customHeight="1">
      <c r="A175" s="3">
        <v>45748</v>
      </c>
      <c r="B175" s="5" t="s">
        <v>549</v>
      </c>
      <c r="C175" s="5" t="s">
        <v>429</v>
      </c>
      <c r="D175" s="5" t="s">
        <v>545</v>
      </c>
      <c r="E175" s="5" t="s">
        <v>37</v>
      </c>
      <c r="F175" s="5" t="str">
        <f t="shared" si="16"/>
        <v>Sugar</v>
      </c>
      <c r="G175" s="5" t="s">
        <v>256</v>
      </c>
      <c r="H175" s="5" t="s">
        <v>39</v>
      </c>
      <c r="I175" s="5" t="s">
        <v>80</v>
      </c>
      <c r="J175" s="6">
        <v>5</v>
      </c>
      <c r="K175" s="6">
        <v>135</v>
      </c>
      <c r="L175" s="6">
        <v>537.39</v>
      </c>
      <c r="M175" s="6">
        <f t="shared" si="17"/>
        <v>72547.649999999994</v>
      </c>
      <c r="N175" s="6">
        <v>1020</v>
      </c>
      <c r="O175" s="6">
        <v>511.8</v>
      </c>
      <c r="P175" s="6">
        <f t="shared" si="18"/>
        <v>69093</v>
      </c>
      <c r="Q175" s="6">
        <f t="shared" si="19"/>
        <v>3454.6499999999942</v>
      </c>
      <c r="R175" s="6">
        <v>2500</v>
      </c>
      <c r="S175" s="6">
        <v>0</v>
      </c>
      <c r="T175" s="6">
        <v>0</v>
      </c>
      <c r="U175" s="6">
        <v>17.5</v>
      </c>
      <c r="V175" s="6">
        <v>31.5</v>
      </c>
      <c r="W175" s="6">
        <f t="shared" si="20"/>
        <v>1020</v>
      </c>
      <c r="X175" s="6">
        <f t="shared" si="21"/>
        <v>2549</v>
      </c>
      <c r="Y175" s="6">
        <v>0</v>
      </c>
      <c r="Z175" s="6">
        <f t="shared" si="22"/>
        <v>1925.6499999999942</v>
      </c>
      <c r="AA175" s="6" t="str">
        <f t="shared" si="23"/>
        <v xml:space="preserve"> Profit</v>
      </c>
      <c r="AB175" s="5" t="s">
        <v>1006</v>
      </c>
      <c r="AC175" s="5" t="s">
        <v>42</v>
      </c>
      <c r="AD175" s="5" t="s">
        <v>43</v>
      </c>
      <c r="AE175" s="5" t="s">
        <v>161</v>
      </c>
      <c r="AF175" s="5" t="s">
        <v>45</v>
      </c>
      <c r="AG175" s="3">
        <v>45752</v>
      </c>
      <c r="AH175" s="3">
        <v>45758</v>
      </c>
    </row>
    <row r="176" spans="1:34" ht="12" customHeight="1">
      <c r="A176" s="3">
        <v>45775</v>
      </c>
      <c r="B176" s="5" t="s">
        <v>551</v>
      </c>
      <c r="C176" s="5" t="s">
        <v>437</v>
      </c>
      <c r="D176" s="5" t="s">
        <v>545</v>
      </c>
      <c r="E176" s="5" t="s">
        <v>37</v>
      </c>
      <c r="F176" s="5" t="str">
        <f t="shared" si="16"/>
        <v>Sugar</v>
      </c>
      <c r="G176" s="5" t="s">
        <v>49</v>
      </c>
      <c r="H176" s="5" t="s">
        <v>39</v>
      </c>
      <c r="I176" s="5" t="s">
        <v>80</v>
      </c>
      <c r="J176" s="6">
        <v>20</v>
      </c>
      <c r="K176" s="6">
        <v>540</v>
      </c>
      <c r="L176" s="6">
        <v>530.25</v>
      </c>
      <c r="M176" s="6">
        <f t="shared" si="17"/>
        <v>286335</v>
      </c>
      <c r="N176" s="6">
        <v>6789.12</v>
      </c>
      <c r="O176" s="6">
        <v>505</v>
      </c>
      <c r="P176" s="6">
        <f t="shared" si="18"/>
        <v>272700</v>
      </c>
      <c r="Q176" s="6">
        <f t="shared" si="19"/>
        <v>13635</v>
      </c>
      <c r="R176" s="6">
        <v>16640</v>
      </c>
      <c r="S176" s="6">
        <v>0</v>
      </c>
      <c r="T176" s="6">
        <v>0</v>
      </c>
      <c r="U176" s="6">
        <v>116.48</v>
      </c>
      <c r="V176" s="6">
        <v>10.5</v>
      </c>
      <c r="W176" s="6">
        <f t="shared" si="20"/>
        <v>6789.12</v>
      </c>
      <c r="X176" s="6">
        <f t="shared" si="21"/>
        <v>16766.98</v>
      </c>
      <c r="Y176" s="6">
        <v>0</v>
      </c>
      <c r="Z176" s="6">
        <f t="shared" si="22"/>
        <v>3657.1400000000003</v>
      </c>
      <c r="AA176" s="6" t="str">
        <f t="shared" si="23"/>
        <v xml:space="preserve"> Profit</v>
      </c>
      <c r="AB176" s="5" t="s">
        <v>552</v>
      </c>
      <c r="AC176" s="5" t="s">
        <v>42</v>
      </c>
      <c r="AD176" s="5" t="s">
        <v>43</v>
      </c>
      <c r="AE176" s="5" t="s">
        <v>161</v>
      </c>
      <c r="AF176" s="5" t="s">
        <v>45</v>
      </c>
      <c r="AG176" s="3">
        <v>45779</v>
      </c>
      <c r="AH176" s="3">
        <v>45785</v>
      </c>
    </row>
    <row r="177" spans="1:34" ht="12" customHeight="1">
      <c r="A177" s="3">
        <v>45805</v>
      </c>
      <c r="B177" s="5" t="s">
        <v>553</v>
      </c>
      <c r="C177" s="5" t="s">
        <v>429</v>
      </c>
      <c r="D177" s="5" t="s">
        <v>554</v>
      </c>
      <c r="E177" s="5" t="s">
        <v>37</v>
      </c>
      <c r="F177" s="5" t="str">
        <f t="shared" si="16"/>
        <v>Sugar</v>
      </c>
      <c r="G177" s="5" t="s">
        <v>256</v>
      </c>
      <c r="H177" s="5" t="s">
        <v>39</v>
      </c>
      <c r="I177" s="5" t="s">
        <v>80</v>
      </c>
      <c r="J177" s="6">
        <v>5</v>
      </c>
      <c r="K177" s="6">
        <v>135</v>
      </c>
      <c r="L177" s="6">
        <v>537.39</v>
      </c>
      <c r="M177" s="6">
        <f t="shared" si="17"/>
        <v>72547.649999999994</v>
      </c>
      <c r="N177" s="6">
        <v>1020</v>
      </c>
      <c r="O177" s="6">
        <v>511.8</v>
      </c>
      <c r="P177" s="6">
        <f t="shared" si="18"/>
        <v>69093</v>
      </c>
      <c r="Q177" s="6">
        <f t="shared" si="19"/>
        <v>3454.6499999999942</v>
      </c>
      <c r="R177" s="6">
        <v>2500</v>
      </c>
      <c r="S177" s="6">
        <v>0</v>
      </c>
      <c r="T177" s="6">
        <v>0</v>
      </c>
      <c r="U177" s="6">
        <v>17.5</v>
      </c>
      <c r="V177" s="6">
        <v>8.57</v>
      </c>
      <c r="W177" s="6">
        <f t="shared" si="20"/>
        <v>1020</v>
      </c>
      <c r="X177" s="6">
        <f t="shared" si="21"/>
        <v>2526.0700000000002</v>
      </c>
      <c r="Y177" s="6">
        <v>0</v>
      </c>
      <c r="Z177" s="6">
        <f t="shared" si="22"/>
        <v>1948.579999999994</v>
      </c>
      <c r="AA177" s="6" t="str">
        <f t="shared" si="23"/>
        <v xml:space="preserve"> Profit</v>
      </c>
      <c r="AB177" s="5" t="s">
        <v>555</v>
      </c>
      <c r="AC177" s="5" t="s">
        <v>189</v>
      </c>
      <c r="AD177" s="5" t="s">
        <v>67</v>
      </c>
      <c r="AE177" s="5" t="s">
        <v>44</v>
      </c>
      <c r="AF177" s="5" t="s">
        <v>115</v>
      </c>
      <c r="AG177" s="3">
        <v>45809</v>
      </c>
      <c r="AH177" s="3">
        <v>45815</v>
      </c>
    </row>
    <row r="178" spans="1:34" ht="12" customHeight="1">
      <c r="A178" s="3">
        <v>45809</v>
      </c>
      <c r="B178" s="5" t="s">
        <v>556</v>
      </c>
      <c r="C178" s="5" t="s">
        <v>557</v>
      </c>
      <c r="D178" s="5" t="s">
        <v>558</v>
      </c>
      <c r="E178" s="5" t="s">
        <v>37</v>
      </c>
      <c r="F178" s="5" t="str">
        <f t="shared" si="16"/>
        <v>Sugar</v>
      </c>
      <c r="G178" s="5" t="s">
        <v>256</v>
      </c>
      <c r="H178" s="5" t="s">
        <v>39</v>
      </c>
      <c r="I178" s="5" t="s">
        <v>80</v>
      </c>
      <c r="J178" s="6">
        <v>10</v>
      </c>
      <c r="K178" s="6">
        <v>270</v>
      </c>
      <c r="L178" s="6">
        <v>518.70000000000005</v>
      </c>
      <c r="M178" s="6">
        <f t="shared" si="17"/>
        <v>140049</v>
      </c>
      <c r="N178" s="6">
        <v>3125.28</v>
      </c>
      <c r="O178" s="6">
        <v>494</v>
      </c>
      <c r="P178" s="6">
        <f t="shared" si="18"/>
        <v>133380</v>
      </c>
      <c r="Q178" s="6">
        <f t="shared" si="19"/>
        <v>6669</v>
      </c>
      <c r="R178" s="6">
        <v>7660</v>
      </c>
      <c r="S178" s="6">
        <v>0</v>
      </c>
      <c r="T178" s="6">
        <v>0</v>
      </c>
      <c r="U178" s="6">
        <v>53.62</v>
      </c>
      <c r="V178" s="6">
        <v>8.57</v>
      </c>
      <c r="W178" s="6">
        <f t="shared" si="20"/>
        <v>3125.28</v>
      </c>
      <c r="X178" s="6">
        <f t="shared" si="21"/>
        <v>7722.19</v>
      </c>
      <c r="Y178" s="6">
        <v>0</v>
      </c>
      <c r="Z178" s="6">
        <f t="shared" si="22"/>
        <v>2072.0900000000006</v>
      </c>
      <c r="AA178" s="6" t="str">
        <f t="shared" si="23"/>
        <v xml:space="preserve"> Profit</v>
      </c>
      <c r="AB178" s="5" t="s">
        <v>550</v>
      </c>
      <c r="AC178" s="5" t="s">
        <v>193</v>
      </c>
      <c r="AD178" s="5" t="s">
        <v>67</v>
      </c>
      <c r="AE178" s="5" t="s">
        <v>44</v>
      </c>
      <c r="AF178" s="5" t="s">
        <v>115</v>
      </c>
      <c r="AG178" s="3">
        <v>45813</v>
      </c>
      <c r="AH178" s="3">
        <v>45819</v>
      </c>
    </row>
    <row r="179" spans="1:34" ht="12" customHeight="1">
      <c r="A179" s="3">
        <v>45811</v>
      </c>
      <c r="B179" s="5" t="s">
        <v>559</v>
      </c>
      <c r="C179" s="5" t="s">
        <v>560</v>
      </c>
      <c r="D179" s="5" t="s">
        <v>523</v>
      </c>
      <c r="E179" s="5" t="s">
        <v>37</v>
      </c>
      <c r="F179" s="5" t="str">
        <f t="shared" si="16"/>
        <v>Sugar</v>
      </c>
      <c r="G179" s="5" t="s">
        <v>38</v>
      </c>
      <c r="H179" s="5" t="s">
        <v>39</v>
      </c>
      <c r="I179" s="5" t="s">
        <v>80</v>
      </c>
      <c r="J179" s="6">
        <v>10</v>
      </c>
      <c r="K179" s="6">
        <v>270</v>
      </c>
      <c r="L179" s="6">
        <v>515.26649999999995</v>
      </c>
      <c r="M179" s="6">
        <f t="shared" si="17"/>
        <v>139121.95499999999</v>
      </c>
      <c r="N179" s="6">
        <v>693.6</v>
      </c>
      <c r="O179" s="6">
        <v>490.73</v>
      </c>
      <c r="P179" s="6">
        <f t="shared" si="18"/>
        <v>132497.1</v>
      </c>
      <c r="Q179" s="6">
        <f t="shared" si="19"/>
        <v>6624.8549999999814</v>
      </c>
      <c r="R179" s="6">
        <v>1700</v>
      </c>
      <c r="S179" s="6">
        <v>0</v>
      </c>
      <c r="T179" s="6">
        <v>0</v>
      </c>
      <c r="U179" s="6">
        <v>11.9</v>
      </c>
      <c r="V179" s="6">
        <v>343.87</v>
      </c>
      <c r="W179" s="6">
        <f t="shared" si="20"/>
        <v>693.6</v>
      </c>
      <c r="X179" s="6">
        <f t="shared" si="21"/>
        <v>2055.77</v>
      </c>
      <c r="Y179" s="6">
        <v>0</v>
      </c>
      <c r="Z179" s="6">
        <f t="shared" si="22"/>
        <v>5262.6849999999813</v>
      </c>
      <c r="AA179" s="6" t="str">
        <f t="shared" si="23"/>
        <v xml:space="preserve"> Profit</v>
      </c>
      <c r="AB179" s="5" t="s">
        <v>561</v>
      </c>
      <c r="AC179" s="5" t="s">
        <v>66</v>
      </c>
      <c r="AD179" s="5" t="s">
        <v>67</v>
      </c>
      <c r="AE179" s="5" t="s">
        <v>161</v>
      </c>
      <c r="AF179" s="5" t="s">
        <v>45</v>
      </c>
      <c r="AG179" s="3">
        <v>45815</v>
      </c>
      <c r="AH179" s="3">
        <v>45821</v>
      </c>
    </row>
    <row r="180" spans="1:34" ht="12" customHeight="1">
      <c r="A180" s="3">
        <v>45813</v>
      </c>
      <c r="B180" s="5" t="s">
        <v>562</v>
      </c>
      <c r="C180" s="5" t="s">
        <v>560</v>
      </c>
      <c r="D180" s="5" t="s">
        <v>523</v>
      </c>
      <c r="E180" s="5" t="s">
        <v>37</v>
      </c>
      <c r="F180" s="5" t="str">
        <f t="shared" si="16"/>
        <v>Sugar</v>
      </c>
      <c r="G180" s="5" t="s">
        <v>38</v>
      </c>
      <c r="H180" s="5" t="s">
        <v>39</v>
      </c>
      <c r="I180" s="5" t="s">
        <v>80</v>
      </c>
      <c r="J180" s="6">
        <v>10</v>
      </c>
      <c r="K180" s="6">
        <v>260</v>
      </c>
      <c r="L180" s="6">
        <v>515.26649999999995</v>
      </c>
      <c r="M180" s="6">
        <f t="shared" si="17"/>
        <v>133969.28999999998</v>
      </c>
      <c r="N180" s="6">
        <v>975.12</v>
      </c>
      <c r="O180" s="6">
        <v>490.73</v>
      </c>
      <c r="P180" s="6">
        <f t="shared" si="18"/>
        <v>127589.8</v>
      </c>
      <c r="Q180" s="6">
        <f t="shared" si="19"/>
        <v>6379.4899999999761</v>
      </c>
      <c r="R180" s="6">
        <v>2390</v>
      </c>
      <c r="S180" s="6">
        <v>0</v>
      </c>
      <c r="T180" s="6">
        <v>0</v>
      </c>
      <c r="U180" s="6">
        <v>16.73</v>
      </c>
      <c r="V180" s="6">
        <v>318.66000000000003</v>
      </c>
      <c r="W180" s="6">
        <f t="shared" si="20"/>
        <v>975.12</v>
      </c>
      <c r="X180" s="6">
        <f t="shared" si="21"/>
        <v>2725.39</v>
      </c>
      <c r="Y180" s="6">
        <v>0</v>
      </c>
      <c r="Z180" s="6">
        <f t="shared" si="22"/>
        <v>4629.2199999999766</v>
      </c>
      <c r="AA180" s="6" t="str">
        <f t="shared" si="23"/>
        <v xml:space="preserve"> Profit</v>
      </c>
      <c r="AB180" s="5" t="s">
        <v>514</v>
      </c>
      <c r="AC180" s="5" t="s">
        <v>82</v>
      </c>
      <c r="AD180" s="5" t="s">
        <v>88</v>
      </c>
      <c r="AE180" s="5" t="s">
        <v>114</v>
      </c>
      <c r="AF180" s="5" t="s">
        <v>115</v>
      </c>
      <c r="AG180" s="3">
        <v>45817</v>
      </c>
      <c r="AH180" s="3">
        <v>45823</v>
      </c>
    </row>
    <row r="181" spans="1:34" ht="12" customHeight="1">
      <c r="A181" s="3">
        <v>45814</v>
      </c>
      <c r="B181" s="5" t="s">
        <v>563</v>
      </c>
      <c r="C181" s="5" t="s">
        <v>564</v>
      </c>
      <c r="D181" s="5" t="s">
        <v>523</v>
      </c>
      <c r="E181" s="5" t="s">
        <v>37</v>
      </c>
      <c r="F181" s="5" t="str">
        <f t="shared" si="16"/>
        <v>Sugar</v>
      </c>
      <c r="G181" s="5" t="s">
        <v>38</v>
      </c>
      <c r="H181" s="5" t="s">
        <v>39</v>
      </c>
      <c r="I181" s="5" t="s">
        <v>80</v>
      </c>
      <c r="J181" s="6">
        <v>10</v>
      </c>
      <c r="K181" s="6">
        <v>270</v>
      </c>
      <c r="L181" s="6">
        <v>518.70000000000005</v>
      </c>
      <c r="M181" s="6">
        <f t="shared" si="17"/>
        <v>140049</v>
      </c>
      <c r="N181" s="6">
        <v>4655.28</v>
      </c>
      <c r="O181" s="6">
        <v>494</v>
      </c>
      <c r="P181" s="6">
        <f t="shared" si="18"/>
        <v>133380</v>
      </c>
      <c r="Q181" s="6">
        <f t="shared" si="19"/>
        <v>6669</v>
      </c>
      <c r="R181" s="6">
        <v>11410</v>
      </c>
      <c r="S181" s="6">
        <v>0</v>
      </c>
      <c r="T181" s="6">
        <v>0</v>
      </c>
      <c r="U181" s="6">
        <v>79.87</v>
      </c>
      <c r="V181" s="6">
        <v>31.5</v>
      </c>
      <c r="W181" s="6">
        <f t="shared" si="20"/>
        <v>4655.28</v>
      </c>
      <c r="X181" s="6">
        <f t="shared" si="21"/>
        <v>11521.37</v>
      </c>
      <c r="Y181" s="6">
        <v>0</v>
      </c>
      <c r="Z181" s="6">
        <f t="shared" si="22"/>
        <v>-197.09000000000106</v>
      </c>
      <c r="AA181" s="6" t="str">
        <f t="shared" si="23"/>
        <v xml:space="preserve"> Loss</v>
      </c>
      <c r="AB181" s="5" t="s">
        <v>1007</v>
      </c>
      <c r="AC181" s="5" t="s">
        <v>82</v>
      </c>
      <c r="AD181" s="5" t="s">
        <v>88</v>
      </c>
      <c r="AE181" s="5" t="s">
        <v>114</v>
      </c>
      <c r="AF181" s="5" t="s">
        <v>115</v>
      </c>
      <c r="AG181" s="3">
        <v>45818</v>
      </c>
      <c r="AH181" s="3">
        <v>45824</v>
      </c>
    </row>
    <row r="182" spans="1:34" ht="12" customHeight="1">
      <c r="A182" s="3">
        <v>45815</v>
      </c>
      <c r="B182" s="5" t="s">
        <v>566</v>
      </c>
      <c r="C182" s="5" t="s">
        <v>567</v>
      </c>
      <c r="D182" s="5" t="s">
        <v>568</v>
      </c>
      <c r="E182" s="5" t="s">
        <v>37</v>
      </c>
      <c r="F182" s="5" t="str">
        <f t="shared" si="16"/>
        <v>Sugar</v>
      </c>
      <c r="G182" s="5" t="s">
        <v>49</v>
      </c>
      <c r="H182" s="5" t="s">
        <v>39</v>
      </c>
      <c r="I182" s="5" t="s">
        <v>80</v>
      </c>
      <c r="J182" s="6">
        <v>20</v>
      </c>
      <c r="K182" s="6">
        <v>540</v>
      </c>
      <c r="L182" s="6">
        <v>538.65</v>
      </c>
      <c r="M182" s="6">
        <f t="shared" si="17"/>
        <v>290871</v>
      </c>
      <c r="N182" s="6">
        <v>9343.2000000000007</v>
      </c>
      <c r="O182" s="6">
        <v>513</v>
      </c>
      <c r="P182" s="6">
        <f t="shared" si="18"/>
        <v>277020</v>
      </c>
      <c r="Q182" s="6">
        <f t="shared" si="19"/>
        <v>13851</v>
      </c>
      <c r="R182" s="6">
        <v>22900</v>
      </c>
      <c r="S182" s="6">
        <v>0</v>
      </c>
      <c r="T182" s="6">
        <v>0</v>
      </c>
      <c r="U182" s="6">
        <v>160.30000000000001</v>
      </c>
      <c r="V182" s="6">
        <v>31.5</v>
      </c>
      <c r="W182" s="6">
        <f t="shared" si="20"/>
        <v>9343.2000000000007</v>
      </c>
      <c r="X182" s="6">
        <f t="shared" si="21"/>
        <v>23091.8</v>
      </c>
      <c r="Y182" s="6">
        <v>0</v>
      </c>
      <c r="Z182" s="6">
        <f t="shared" si="22"/>
        <v>102.40000000000146</v>
      </c>
      <c r="AA182" s="6" t="str">
        <f t="shared" si="23"/>
        <v xml:space="preserve"> Profit</v>
      </c>
      <c r="AB182" s="5" t="s">
        <v>569</v>
      </c>
      <c r="AC182" s="5" t="s">
        <v>168</v>
      </c>
      <c r="AD182" s="5" t="s">
        <v>43</v>
      </c>
      <c r="AE182" s="5" t="s">
        <v>114</v>
      </c>
      <c r="AF182" s="5" t="s">
        <v>115</v>
      </c>
      <c r="AG182" s="3">
        <v>45819</v>
      </c>
      <c r="AH182" s="3">
        <v>45825</v>
      </c>
    </row>
    <row r="183" spans="1:34" ht="12" customHeight="1">
      <c r="A183" s="3">
        <v>45816</v>
      </c>
      <c r="B183" s="5" t="s">
        <v>570</v>
      </c>
      <c r="C183" s="5" t="s">
        <v>567</v>
      </c>
      <c r="D183" s="5" t="s">
        <v>568</v>
      </c>
      <c r="E183" s="5" t="s">
        <v>37</v>
      </c>
      <c r="F183" s="5" t="str">
        <f t="shared" si="16"/>
        <v>Sugar</v>
      </c>
      <c r="G183" s="5" t="s">
        <v>49</v>
      </c>
      <c r="H183" s="5" t="s">
        <v>39</v>
      </c>
      <c r="I183" s="5" t="s">
        <v>80</v>
      </c>
      <c r="J183" s="6">
        <v>10</v>
      </c>
      <c r="K183" s="6">
        <v>270</v>
      </c>
      <c r="L183" s="6">
        <v>538.65</v>
      </c>
      <c r="M183" s="6">
        <f t="shared" si="17"/>
        <v>145435.5</v>
      </c>
      <c r="N183" s="6">
        <v>4732.8</v>
      </c>
      <c r="O183" s="6">
        <v>513</v>
      </c>
      <c r="P183" s="6">
        <f t="shared" si="18"/>
        <v>138510</v>
      </c>
      <c r="Q183" s="6">
        <f t="shared" si="19"/>
        <v>6925.5</v>
      </c>
      <c r="R183" s="6">
        <v>11600</v>
      </c>
      <c r="S183" s="6">
        <v>0</v>
      </c>
      <c r="T183" s="6">
        <v>0</v>
      </c>
      <c r="U183" s="6">
        <v>81.2</v>
      </c>
      <c r="V183" s="6">
        <v>31.5</v>
      </c>
      <c r="W183" s="6">
        <f t="shared" si="20"/>
        <v>4732.8</v>
      </c>
      <c r="X183" s="6">
        <f t="shared" si="21"/>
        <v>11712.7</v>
      </c>
      <c r="Y183" s="6">
        <v>0</v>
      </c>
      <c r="Z183" s="6">
        <f t="shared" si="22"/>
        <v>-54.400000000000546</v>
      </c>
      <c r="AA183" s="6" t="str">
        <f t="shared" si="23"/>
        <v xml:space="preserve"> Loss</v>
      </c>
      <c r="AB183" s="5" t="s">
        <v>1008</v>
      </c>
      <c r="AC183" s="5" t="s">
        <v>211</v>
      </c>
      <c r="AD183" s="5" t="s">
        <v>212</v>
      </c>
      <c r="AE183" s="5" t="s">
        <v>44</v>
      </c>
      <c r="AF183" s="5" t="s">
        <v>115</v>
      </c>
      <c r="AG183" s="3">
        <v>45820</v>
      </c>
      <c r="AH183" s="3">
        <v>45826</v>
      </c>
    </row>
    <row r="184" spans="1:34" ht="12" customHeight="1">
      <c r="A184" s="3">
        <v>45817</v>
      </c>
      <c r="B184" s="5" t="s">
        <v>572</v>
      </c>
      <c r="C184" s="5" t="s">
        <v>567</v>
      </c>
      <c r="D184" s="5" t="s">
        <v>568</v>
      </c>
      <c r="E184" s="5" t="s">
        <v>37</v>
      </c>
      <c r="F184" s="5" t="str">
        <f t="shared" si="16"/>
        <v>Sugar</v>
      </c>
      <c r="G184" s="5" t="s">
        <v>49</v>
      </c>
      <c r="H184" s="5" t="s">
        <v>39</v>
      </c>
      <c r="I184" s="5" t="s">
        <v>80</v>
      </c>
      <c r="J184" s="6">
        <v>10</v>
      </c>
      <c r="K184" s="6">
        <v>270</v>
      </c>
      <c r="L184" s="6">
        <v>538.65</v>
      </c>
      <c r="M184" s="6">
        <f t="shared" si="17"/>
        <v>145435.5</v>
      </c>
      <c r="N184" s="6">
        <v>4732.8</v>
      </c>
      <c r="O184" s="6">
        <v>513</v>
      </c>
      <c r="P184" s="6">
        <f t="shared" si="18"/>
        <v>138510</v>
      </c>
      <c r="Q184" s="6">
        <f t="shared" si="19"/>
        <v>6925.5</v>
      </c>
      <c r="R184" s="6">
        <v>11600</v>
      </c>
      <c r="S184" s="6">
        <v>0</v>
      </c>
      <c r="T184" s="6">
        <v>0</v>
      </c>
      <c r="U184" s="6">
        <v>81.2</v>
      </c>
      <c r="V184" s="6">
        <v>8.57</v>
      </c>
      <c r="W184" s="6">
        <f t="shared" si="20"/>
        <v>4732.8</v>
      </c>
      <c r="X184" s="6">
        <f t="shared" si="21"/>
        <v>11689.77</v>
      </c>
      <c r="Y184" s="6">
        <v>0</v>
      </c>
      <c r="Z184" s="6">
        <f t="shared" si="22"/>
        <v>-31.470000000000255</v>
      </c>
      <c r="AA184" s="6" t="str">
        <f t="shared" si="23"/>
        <v xml:space="preserve"> Loss</v>
      </c>
      <c r="AB184" s="5" t="s">
        <v>158</v>
      </c>
      <c r="AC184" s="5" t="s">
        <v>77</v>
      </c>
      <c r="AD184" s="5" t="s">
        <v>67</v>
      </c>
      <c r="AE184" s="5" t="s">
        <v>161</v>
      </c>
      <c r="AF184" s="5" t="s">
        <v>45</v>
      </c>
      <c r="AG184" s="3">
        <v>45821</v>
      </c>
      <c r="AH184" s="3">
        <v>45827</v>
      </c>
    </row>
    <row r="185" spans="1:34" ht="12" customHeight="1">
      <c r="A185" s="3">
        <v>45818</v>
      </c>
      <c r="B185" s="5" t="s">
        <v>573</v>
      </c>
      <c r="C185" s="5" t="s">
        <v>510</v>
      </c>
      <c r="D185" s="5" t="s">
        <v>519</v>
      </c>
      <c r="E185" s="5" t="s">
        <v>63</v>
      </c>
      <c r="F185" s="5" t="str">
        <f t="shared" si="16"/>
        <v>Rice</v>
      </c>
      <c r="G185" s="5" t="s">
        <v>38</v>
      </c>
      <c r="H185" s="5" t="s">
        <v>444</v>
      </c>
      <c r="I185" s="5" t="s">
        <v>80</v>
      </c>
      <c r="J185" s="6">
        <v>15</v>
      </c>
      <c r="K185" s="6">
        <v>390</v>
      </c>
      <c r="L185" s="6">
        <v>430.5</v>
      </c>
      <c r="M185" s="6">
        <f t="shared" si="17"/>
        <v>167895</v>
      </c>
      <c r="N185" s="6">
        <v>6464.1908400000002</v>
      </c>
      <c r="O185" s="6">
        <v>410</v>
      </c>
      <c r="P185" s="6">
        <f t="shared" si="18"/>
        <v>159900</v>
      </c>
      <c r="Q185" s="6">
        <f t="shared" si="19"/>
        <v>7995</v>
      </c>
      <c r="R185" s="6">
        <v>15843.6049</v>
      </c>
      <c r="S185" s="6">
        <v>0</v>
      </c>
      <c r="T185" s="6">
        <v>0</v>
      </c>
      <c r="U185" s="6">
        <v>110.90519999999999</v>
      </c>
      <c r="V185" s="6">
        <v>0</v>
      </c>
      <c r="W185" s="6">
        <f t="shared" si="20"/>
        <v>6464.1908400000002</v>
      </c>
      <c r="X185" s="6">
        <f t="shared" si="21"/>
        <v>15954.5101</v>
      </c>
      <c r="Y185" s="6">
        <v>0</v>
      </c>
      <c r="Z185" s="6">
        <f t="shared" si="22"/>
        <v>-1495.3192599999993</v>
      </c>
      <c r="AA185" s="6" t="str">
        <f t="shared" si="23"/>
        <v xml:space="preserve"> Loss</v>
      </c>
      <c r="AB185" s="5" t="s">
        <v>574</v>
      </c>
      <c r="AC185" s="5" t="s">
        <v>217</v>
      </c>
      <c r="AD185" s="5" t="s">
        <v>67</v>
      </c>
      <c r="AE185" s="5" t="s">
        <v>161</v>
      </c>
      <c r="AF185" s="5" t="s">
        <v>45</v>
      </c>
      <c r="AG185" s="3">
        <v>45822</v>
      </c>
      <c r="AH185" s="3">
        <v>45828</v>
      </c>
    </row>
    <row r="186" spans="1:34" ht="12" customHeight="1">
      <c r="A186" s="3">
        <v>45819</v>
      </c>
      <c r="B186" s="5" t="s">
        <v>575</v>
      </c>
      <c r="C186" s="5" t="s">
        <v>576</v>
      </c>
      <c r="D186" s="5" t="s">
        <v>415</v>
      </c>
      <c r="E186" s="5" t="s">
        <v>63</v>
      </c>
      <c r="F186" s="5" t="str">
        <f t="shared" si="16"/>
        <v>Rice</v>
      </c>
      <c r="G186" s="5" t="s">
        <v>49</v>
      </c>
      <c r="H186" s="5" t="s">
        <v>444</v>
      </c>
      <c r="I186" s="5" t="s">
        <v>80</v>
      </c>
      <c r="J186" s="6">
        <v>10</v>
      </c>
      <c r="K186" s="6">
        <v>260</v>
      </c>
      <c r="L186" s="6">
        <v>414.75</v>
      </c>
      <c r="M186" s="6">
        <f t="shared" si="17"/>
        <v>107835</v>
      </c>
      <c r="N186" s="6">
        <v>10710</v>
      </c>
      <c r="O186" s="6">
        <v>395</v>
      </c>
      <c r="P186" s="6">
        <f t="shared" si="18"/>
        <v>102700</v>
      </c>
      <c r="Q186" s="6">
        <f t="shared" si="19"/>
        <v>5135</v>
      </c>
      <c r="R186" s="6">
        <v>26250</v>
      </c>
      <c r="S186" s="6">
        <v>0</v>
      </c>
      <c r="T186" s="6">
        <v>0</v>
      </c>
      <c r="U186" s="6">
        <v>183.75</v>
      </c>
      <c r="V186" s="6">
        <v>8.57</v>
      </c>
      <c r="W186" s="6">
        <f t="shared" si="20"/>
        <v>10710</v>
      </c>
      <c r="X186" s="6">
        <f t="shared" si="21"/>
        <v>26442.32</v>
      </c>
      <c r="Y186" s="6">
        <v>0</v>
      </c>
      <c r="Z186" s="6">
        <f t="shared" si="22"/>
        <v>-10597.32</v>
      </c>
      <c r="AA186" s="6" t="str">
        <f t="shared" si="23"/>
        <v xml:space="preserve"> Loss</v>
      </c>
      <c r="AB186" s="5" t="s">
        <v>949</v>
      </c>
      <c r="AC186" s="5" t="s">
        <v>220</v>
      </c>
      <c r="AD186" s="5" t="s">
        <v>67</v>
      </c>
      <c r="AE186" s="5" t="s">
        <v>161</v>
      </c>
      <c r="AF186" s="5" t="s">
        <v>45</v>
      </c>
      <c r="AG186" s="3">
        <v>45823</v>
      </c>
      <c r="AH186" s="3">
        <v>45829</v>
      </c>
    </row>
    <row r="187" spans="1:34" ht="12" customHeight="1">
      <c r="A187" s="3">
        <v>45820</v>
      </c>
      <c r="B187" s="5" t="s">
        <v>578</v>
      </c>
      <c r="C187" s="5" t="s">
        <v>579</v>
      </c>
      <c r="D187" s="5" t="s">
        <v>415</v>
      </c>
      <c r="E187" s="5" t="s">
        <v>63</v>
      </c>
      <c r="F187" s="5" t="str">
        <f t="shared" si="16"/>
        <v>Rice</v>
      </c>
      <c r="G187" s="5" t="s">
        <v>49</v>
      </c>
      <c r="H187" s="5" t="s">
        <v>444</v>
      </c>
      <c r="I187" s="5" t="s">
        <v>80</v>
      </c>
      <c r="J187" s="6">
        <v>10</v>
      </c>
      <c r="K187" s="6">
        <v>260</v>
      </c>
      <c r="L187" s="6">
        <v>388.5</v>
      </c>
      <c r="M187" s="6">
        <f t="shared" si="17"/>
        <v>101010</v>
      </c>
      <c r="N187" s="6">
        <v>2696.5413600000002</v>
      </c>
      <c r="O187" s="6">
        <v>370</v>
      </c>
      <c r="P187" s="6">
        <f t="shared" si="18"/>
        <v>96200</v>
      </c>
      <c r="Q187" s="6">
        <f t="shared" si="19"/>
        <v>4810</v>
      </c>
      <c r="R187" s="6">
        <v>6609.17</v>
      </c>
      <c r="S187" s="6">
        <v>0</v>
      </c>
      <c r="T187" s="6">
        <v>0</v>
      </c>
      <c r="U187" s="6">
        <v>46.264200000000002</v>
      </c>
      <c r="V187" s="6">
        <v>8.57</v>
      </c>
      <c r="W187" s="6">
        <f t="shared" si="20"/>
        <v>2696.5413600000002</v>
      </c>
      <c r="X187" s="6">
        <f t="shared" si="21"/>
        <v>6664.0041999999994</v>
      </c>
      <c r="Y187" s="6">
        <v>0</v>
      </c>
      <c r="Z187" s="6">
        <f t="shared" si="22"/>
        <v>842.53716000000077</v>
      </c>
      <c r="AA187" s="6" t="str">
        <f t="shared" si="23"/>
        <v xml:space="preserve"> Profit</v>
      </c>
      <c r="AB187" s="5" t="s">
        <v>580</v>
      </c>
      <c r="AC187" s="5" t="s">
        <v>193</v>
      </c>
      <c r="AD187" s="5" t="s">
        <v>67</v>
      </c>
      <c r="AE187" s="5" t="s">
        <v>161</v>
      </c>
      <c r="AF187" s="5" t="s">
        <v>45</v>
      </c>
      <c r="AG187" s="3">
        <v>45824</v>
      </c>
      <c r="AH187" s="3">
        <v>45830</v>
      </c>
    </row>
    <row r="188" spans="1:34" ht="12" customHeight="1">
      <c r="A188" s="3">
        <v>45821</v>
      </c>
      <c r="B188" s="5" t="s">
        <v>581</v>
      </c>
      <c r="C188" s="5" t="s">
        <v>582</v>
      </c>
      <c r="D188" s="5" t="s">
        <v>415</v>
      </c>
      <c r="E188" s="5" t="s">
        <v>63</v>
      </c>
      <c r="F188" s="5" t="str">
        <f t="shared" si="16"/>
        <v>Rice</v>
      </c>
      <c r="G188" s="5" t="s">
        <v>49</v>
      </c>
      <c r="H188" s="5" t="s">
        <v>444</v>
      </c>
      <c r="I188" s="5" t="s">
        <v>80</v>
      </c>
      <c r="J188" s="6">
        <v>10</v>
      </c>
      <c r="K188" s="6">
        <v>260</v>
      </c>
      <c r="L188" s="6">
        <v>413.7</v>
      </c>
      <c r="M188" s="6">
        <f t="shared" si="17"/>
        <v>107562</v>
      </c>
      <c r="N188" s="6">
        <v>3470.9171999999999</v>
      </c>
      <c r="O188" s="6">
        <v>394</v>
      </c>
      <c r="P188" s="6">
        <f t="shared" si="18"/>
        <v>102440</v>
      </c>
      <c r="Q188" s="6">
        <f t="shared" si="19"/>
        <v>5122</v>
      </c>
      <c r="R188" s="6">
        <v>8507.15</v>
      </c>
      <c r="S188" s="6">
        <v>0</v>
      </c>
      <c r="T188" s="6">
        <v>0</v>
      </c>
      <c r="U188" s="6">
        <v>59.55</v>
      </c>
      <c r="V188" s="6">
        <v>31.5</v>
      </c>
      <c r="W188" s="6">
        <f t="shared" si="20"/>
        <v>3470.9171999999999</v>
      </c>
      <c r="X188" s="6">
        <f t="shared" si="21"/>
        <v>8598.1999999999989</v>
      </c>
      <c r="Y188" s="6">
        <v>0</v>
      </c>
      <c r="Z188" s="6">
        <f t="shared" si="22"/>
        <v>-5.2827999999990425</v>
      </c>
      <c r="AA188" s="6" t="str">
        <f t="shared" si="23"/>
        <v xml:space="preserve"> Loss</v>
      </c>
      <c r="AB188" s="5" t="s">
        <v>955</v>
      </c>
      <c r="AC188" s="5" t="s">
        <v>66</v>
      </c>
      <c r="AD188" s="5" t="s">
        <v>67</v>
      </c>
      <c r="AE188" s="5" t="s">
        <v>114</v>
      </c>
      <c r="AF188" s="5" t="s">
        <v>115</v>
      </c>
      <c r="AG188" s="3">
        <v>45825</v>
      </c>
      <c r="AH188" s="3">
        <v>45831</v>
      </c>
    </row>
    <row r="189" spans="1:34" ht="12" customHeight="1">
      <c r="A189" s="3">
        <v>45822</v>
      </c>
      <c r="B189" s="5" t="s">
        <v>584</v>
      </c>
      <c r="C189" s="5" t="s">
        <v>585</v>
      </c>
      <c r="D189" s="5" t="s">
        <v>415</v>
      </c>
      <c r="E189" s="5" t="s">
        <v>63</v>
      </c>
      <c r="F189" s="5" t="str">
        <f t="shared" si="16"/>
        <v>Rice</v>
      </c>
      <c r="G189" s="5" t="s">
        <v>49</v>
      </c>
      <c r="H189" s="5" t="s">
        <v>444</v>
      </c>
      <c r="I189" s="5" t="s">
        <v>80</v>
      </c>
      <c r="J189" s="6">
        <v>10</v>
      </c>
      <c r="K189" s="6">
        <v>260</v>
      </c>
      <c r="L189" s="6">
        <v>390.6</v>
      </c>
      <c r="M189" s="6">
        <f t="shared" si="17"/>
        <v>101556</v>
      </c>
      <c r="N189" s="6">
        <v>2693.0448000000001</v>
      </c>
      <c r="O189" s="6">
        <v>372</v>
      </c>
      <c r="P189" s="6">
        <f t="shared" si="18"/>
        <v>96720</v>
      </c>
      <c r="Q189" s="6">
        <f t="shared" si="19"/>
        <v>4836</v>
      </c>
      <c r="R189" s="6">
        <v>6600.6</v>
      </c>
      <c r="S189" s="6">
        <v>0</v>
      </c>
      <c r="T189" s="6">
        <v>0</v>
      </c>
      <c r="U189" s="6">
        <v>46.2042</v>
      </c>
      <c r="V189" s="6">
        <v>31.5</v>
      </c>
      <c r="W189" s="6">
        <f t="shared" si="20"/>
        <v>2693.0448000000001</v>
      </c>
      <c r="X189" s="6">
        <f t="shared" si="21"/>
        <v>6678.3042000000005</v>
      </c>
      <c r="Y189" s="6">
        <v>0</v>
      </c>
      <c r="Z189" s="6">
        <f t="shared" si="22"/>
        <v>850.74059999999963</v>
      </c>
      <c r="AA189" s="6" t="str">
        <f t="shared" si="23"/>
        <v xml:space="preserve"> Profit</v>
      </c>
      <c r="AB189" s="5" t="s">
        <v>583</v>
      </c>
      <c r="AC189" s="5" t="s">
        <v>66</v>
      </c>
      <c r="AD189" s="5" t="s">
        <v>67</v>
      </c>
      <c r="AE189" s="5" t="s">
        <v>114</v>
      </c>
      <c r="AF189" s="5" t="s">
        <v>115</v>
      </c>
      <c r="AG189" s="3">
        <v>45826</v>
      </c>
      <c r="AH189" s="3">
        <v>45832</v>
      </c>
    </row>
    <row r="190" spans="1:34" ht="12" customHeight="1">
      <c r="A190" s="3">
        <v>45823</v>
      </c>
      <c r="B190" s="5" t="s">
        <v>586</v>
      </c>
      <c r="C190" s="5" t="s">
        <v>587</v>
      </c>
      <c r="D190" s="5" t="s">
        <v>460</v>
      </c>
      <c r="E190" s="5" t="s">
        <v>63</v>
      </c>
      <c r="F190" s="5" t="str">
        <f t="shared" si="16"/>
        <v>Rice</v>
      </c>
      <c r="G190" s="5" t="s">
        <v>272</v>
      </c>
      <c r="H190" s="5" t="s">
        <v>444</v>
      </c>
      <c r="I190" s="5" t="s">
        <v>80</v>
      </c>
      <c r="J190" s="6">
        <v>10</v>
      </c>
      <c r="K190" s="6">
        <v>260</v>
      </c>
      <c r="L190" s="6">
        <v>396.9</v>
      </c>
      <c r="M190" s="6">
        <f t="shared" si="17"/>
        <v>103194</v>
      </c>
      <c r="N190" s="6">
        <v>2696.5413600000002</v>
      </c>
      <c r="O190" s="6">
        <v>378</v>
      </c>
      <c r="P190" s="6">
        <f t="shared" si="18"/>
        <v>98280</v>
      </c>
      <c r="Q190" s="6">
        <f t="shared" si="19"/>
        <v>4914</v>
      </c>
      <c r="R190" s="6">
        <v>6609.17</v>
      </c>
      <c r="S190" s="6">
        <v>0</v>
      </c>
      <c r="T190" s="6">
        <v>0</v>
      </c>
      <c r="U190" s="6">
        <v>46.264200000000002</v>
      </c>
      <c r="V190" s="6">
        <v>8.57</v>
      </c>
      <c r="W190" s="6">
        <f t="shared" si="20"/>
        <v>2696.5413600000002</v>
      </c>
      <c r="X190" s="6">
        <f t="shared" si="21"/>
        <v>6664.0041999999994</v>
      </c>
      <c r="Y190" s="6">
        <v>0</v>
      </c>
      <c r="Z190" s="6">
        <f t="shared" si="22"/>
        <v>946.53716000000077</v>
      </c>
      <c r="AA190" s="6" t="str">
        <f t="shared" si="23"/>
        <v xml:space="preserve"> Profit</v>
      </c>
      <c r="AB190" s="5" t="s">
        <v>953</v>
      </c>
      <c r="AC190" s="5" t="s">
        <v>66</v>
      </c>
      <c r="AD190" s="5" t="s">
        <v>67</v>
      </c>
      <c r="AE190" s="5" t="s">
        <v>114</v>
      </c>
      <c r="AF190" s="5" t="s">
        <v>115</v>
      </c>
      <c r="AG190" s="3">
        <v>45827</v>
      </c>
      <c r="AH190" s="3">
        <v>45833</v>
      </c>
    </row>
    <row r="191" spans="1:34" ht="12" customHeight="1">
      <c r="A191" s="3">
        <v>45824</v>
      </c>
      <c r="B191" s="5" t="s">
        <v>589</v>
      </c>
      <c r="C191" s="5" t="s">
        <v>590</v>
      </c>
      <c r="D191" s="5" t="s">
        <v>460</v>
      </c>
      <c r="E191" s="5" t="s">
        <v>63</v>
      </c>
      <c r="F191" s="5" t="str">
        <f t="shared" si="16"/>
        <v>Rice</v>
      </c>
      <c r="G191" s="5" t="s">
        <v>49</v>
      </c>
      <c r="H191" s="5" t="s">
        <v>444</v>
      </c>
      <c r="I191" s="5" t="s">
        <v>80</v>
      </c>
      <c r="J191" s="6">
        <v>10</v>
      </c>
      <c r="K191" s="6">
        <v>260</v>
      </c>
      <c r="L191" s="6">
        <v>390.6</v>
      </c>
      <c r="M191" s="6">
        <f t="shared" si="17"/>
        <v>101556</v>
      </c>
      <c r="N191" s="6">
        <v>2693.0448000000001</v>
      </c>
      <c r="O191" s="6">
        <v>372</v>
      </c>
      <c r="P191" s="6">
        <f t="shared" si="18"/>
        <v>96720</v>
      </c>
      <c r="Q191" s="6">
        <f t="shared" si="19"/>
        <v>4836</v>
      </c>
      <c r="R191" s="6">
        <v>6600.6</v>
      </c>
      <c r="S191" s="6">
        <v>0</v>
      </c>
      <c r="T191" s="6">
        <v>0</v>
      </c>
      <c r="U191" s="6">
        <v>46.2042</v>
      </c>
      <c r="V191" s="6">
        <v>8.57</v>
      </c>
      <c r="W191" s="6">
        <f t="shared" si="20"/>
        <v>2693.0448000000001</v>
      </c>
      <c r="X191" s="6">
        <f t="shared" si="21"/>
        <v>6655.3742000000002</v>
      </c>
      <c r="Y191" s="6">
        <v>0</v>
      </c>
      <c r="Z191" s="6">
        <f t="shared" si="22"/>
        <v>873.67059999999992</v>
      </c>
      <c r="AA191" s="6" t="str">
        <f t="shared" si="23"/>
        <v xml:space="preserve"> Profit</v>
      </c>
      <c r="AB191" s="5" t="s">
        <v>954</v>
      </c>
      <c r="AC191" s="5" t="s">
        <v>82</v>
      </c>
      <c r="AD191" s="5" t="s">
        <v>88</v>
      </c>
      <c r="AE191" s="5" t="s">
        <v>44</v>
      </c>
      <c r="AF191" s="5" t="s">
        <v>115</v>
      </c>
      <c r="AG191" s="3">
        <v>45828</v>
      </c>
      <c r="AH191" s="3">
        <v>45834</v>
      </c>
    </row>
    <row r="192" spans="1:34" ht="12" customHeight="1">
      <c r="A192" s="3">
        <v>45825</v>
      </c>
      <c r="B192" s="5" t="s">
        <v>592</v>
      </c>
      <c r="C192" s="5" t="s">
        <v>593</v>
      </c>
      <c r="D192" s="5" t="s">
        <v>460</v>
      </c>
      <c r="E192" s="5" t="s">
        <v>397</v>
      </c>
      <c r="F192" s="5" t="str">
        <f t="shared" si="16"/>
        <v>Rice</v>
      </c>
      <c r="G192" s="5" t="s">
        <v>49</v>
      </c>
      <c r="H192" s="5" t="s">
        <v>444</v>
      </c>
      <c r="I192" s="5" t="s">
        <v>80</v>
      </c>
      <c r="J192" s="6">
        <v>10</v>
      </c>
      <c r="K192" s="6">
        <v>260</v>
      </c>
      <c r="L192" s="6">
        <v>390.6</v>
      </c>
      <c r="M192" s="6">
        <f t="shared" si="17"/>
        <v>101556</v>
      </c>
      <c r="N192" s="6">
        <v>2693.0448000000001</v>
      </c>
      <c r="O192" s="6">
        <v>372</v>
      </c>
      <c r="P192" s="6">
        <f t="shared" si="18"/>
        <v>96720</v>
      </c>
      <c r="Q192" s="6">
        <f t="shared" si="19"/>
        <v>4836</v>
      </c>
      <c r="R192" s="6">
        <v>6600.6</v>
      </c>
      <c r="S192" s="6">
        <v>0</v>
      </c>
      <c r="T192" s="6">
        <v>0</v>
      </c>
      <c r="U192" s="6">
        <v>46.2042</v>
      </c>
      <c r="V192" s="6">
        <v>8.57</v>
      </c>
      <c r="W192" s="6">
        <f t="shared" si="20"/>
        <v>2693.0448000000001</v>
      </c>
      <c r="X192" s="6">
        <f t="shared" si="21"/>
        <v>6655.3742000000002</v>
      </c>
      <c r="Y192" s="6">
        <v>0</v>
      </c>
      <c r="Z192" s="6">
        <f t="shared" si="22"/>
        <v>873.67059999999992</v>
      </c>
      <c r="AA192" s="6" t="str">
        <f t="shared" si="23"/>
        <v xml:space="preserve"> Profit</v>
      </c>
      <c r="AB192" s="5" t="s">
        <v>950</v>
      </c>
      <c r="AC192" s="5" t="s">
        <v>42</v>
      </c>
      <c r="AD192" s="5" t="s">
        <v>43</v>
      </c>
      <c r="AE192" s="5" t="s">
        <v>161</v>
      </c>
      <c r="AF192" s="5" t="s">
        <v>45</v>
      </c>
      <c r="AG192" s="3">
        <v>45829</v>
      </c>
      <c r="AH192" s="3">
        <v>45835</v>
      </c>
    </row>
    <row r="193" spans="1:34" ht="12" customHeight="1">
      <c r="A193" s="3">
        <v>45826</v>
      </c>
      <c r="B193" s="5" t="s">
        <v>594</v>
      </c>
      <c r="C193" s="5" t="s">
        <v>585</v>
      </c>
      <c r="D193" s="5" t="s">
        <v>460</v>
      </c>
      <c r="E193" s="5" t="s">
        <v>397</v>
      </c>
      <c r="F193" s="5" t="str">
        <f t="shared" si="16"/>
        <v>Rice</v>
      </c>
      <c r="G193" s="5" t="s">
        <v>49</v>
      </c>
      <c r="H193" s="5" t="s">
        <v>444</v>
      </c>
      <c r="I193" s="5" t="s">
        <v>80</v>
      </c>
      <c r="J193" s="6">
        <v>10</v>
      </c>
      <c r="K193" s="6">
        <v>260</v>
      </c>
      <c r="L193" s="6">
        <v>390.6</v>
      </c>
      <c r="M193" s="6">
        <f t="shared" si="17"/>
        <v>101556</v>
      </c>
      <c r="N193" s="6">
        <v>2693.0448000000001</v>
      </c>
      <c r="O193" s="6">
        <v>372</v>
      </c>
      <c r="P193" s="6">
        <f t="shared" si="18"/>
        <v>96720</v>
      </c>
      <c r="Q193" s="6">
        <f t="shared" si="19"/>
        <v>4836</v>
      </c>
      <c r="R193" s="6">
        <v>6600.6</v>
      </c>
      <c r="S193" s="6">
        <v>0</v>
      </c>
      <c r="T193" s="6">
        <v>0</v>
      </c>
      <c r="U193" s="6">
        <v>46.2042</v>
      </c>
      <c r="V193" s="6">
        <v>10.5</v>
      </c>
      <c r="W193" s="6">
        <f t="shared" si="20"/>
        <v>2693.0448000000001</v>
      </c>
      <c r="X193" s="6">
        <f t="shared" si="21"/>
        <v>6657.3042000000005</v>
      </c>
      <c r="Y193" s="6">
        <v>0</v>
      </c>
      <c r="Z193" s="6">
        <f t="shared" si="22"/>
        <v>871.74059999999963</v>
      </c>
      <c r="AA193" s="6" t="str">
        <f t="shared" si="23"/>
        <v xml:space="preserve"> Profit</v>
      </c>
      <c r="AB193" s="5" t="s">
        <v>1009</v>
      </c>
      <c r="AC193" s="5" t="s">
        <v>193</v>
      </c>
      <c r="AD193" s="5" t="s">
        <v>67</v>
      </c>
      <c r="AE193" s="5" t="s">
        <v>161</v>
      </c>
      <c r="AF193" s="5" t="s">
        <v>45</v>
      </c>
      <c r="AG193" s="3">
        <v>45830</v>
      </c>
      <c r="AH193" s="3">
        <v>45836</v>
      </c>
    </row>
    <row r="194" spans="1:34" ht="12" customHeight="1">
      <c r="A194" s="3">
        <v>45827</v>
      </c>
      <c r="B194" s="5" t="s">
        <v>595</v>
      </c>
      <c r="C194" s="5" t="s">
        <v>596</v>
      </c>
      <c r="D194" s="5" t="s">
        <v>460</v>
      </c>
      <c r="E194" s="5" t="s">
        <v>63</v>
      </c>
      <c r="F194" s="5" t="str">
        <f t="shared" ref="F194:F257" si="24">IF(ISNUMBER(SEARCH("Rice",E194)),"Rice",IF(ISNUMBER(SEARCH("Basmati",E194)),"Rice",IF(ISNUMBER(SEARCH("Sugar",E194)),"Sugar",IF(ISNUMBER(SEARCH("Lentils",E194)),"Lentils",IF(ISNUMBER(SEARCH("Masoor",E194)),"Lentils",IF(ISNUMBER(SEARCH("Cloves",E194)),"Cloves",IF(ISNUMBER(SEARCH("Sunflower",E194)),"Sunflower","Other")))))))</f>
        <v>Rice</v>
      </c>
      <c r="G194" s="5" t="s">
        <v>49</v>
      </c>
      <c r="H194" s="5" t="s">
        <v>444</v>
      </c>
      <c r="I194" s="5" t="s">
        <v>58</v>
      </c>
      <c r="J194" s="6">
        <v>10</v>
      </c>
      <c r="K194" s="6">
        <v>260</v>
      </c>
      <c r="L194" s="6">
        <v>389.55</v>
      </c>
      <c r="M194" s="6">
        <f t="shared" ref="M194:M257" si="25">L194*K194</f>
        <v>101283</v>
      </c>
      <c r="N194" s="6">
        <v>0</v>
      </c>
      <c r="O194" s="6">
        <v>371</v>
      </c>
      <c r="P194" s="6">
        <f t="shared" ref="P194:P257" si="26">K194*O194</f>
        <v>96460</v>
      </c>
      <c r="Q194" s="6">
        <f t="shared" ref="Q194:Q257" si="27">M194-P194</f>
        <v>4823</v>
      </c>
      <c r="R194" s="6">
        <v>0</v>
      </c>
      <c r="S194" s="6">
        <v>0</v>
      </c>
      <c r="T194" s="6">
        <v>0</v>
      </c>
      <c r="U194" s="6">
        <v>0</v>
      </c>
      <c r="V194" s="6">
        <v>105.5</v>
      </c>
      <c r="W194" s="6">
        <f t="shared" ref="W194:W257" si="28">N194+Y194</f>
        <v>0</v>
      </c>
      <c r="X194" s="6">
        <f t="shared" ref="X194:X257" si="29">R194+S194+T194+U194+V194</f>
        <v>105.5</v>
      </c>
      <c r="Y194" s="6">
        <v>0</v>
      </c>
      <c r="Z194" s="6">
        <f t="shared" ref="Z194:Z257" si="30">Q194-X194+W194</f>
        <v>4717.5</v>
      </c>
      <c r="AA194" s="6" t="str">
        <f t="shared" ref="AA194:AA257" si="31">IF(Z194&gt;=0," Profit", " Loss")</f>
        <v xml:space="preserve"> Profit</v>
      </c>
      <c r="AB194" s="5" t="s">
        <v>571</v>
      </c>
      <c r="AC194" s="5" t="s">
        <v>66</v>
      </c>
      <c r="AD194" s="5" t="s">
        <v>67</v>
      </c>
      <c r="AE194" s="5" t="s">
        <v>161</v>
      </c>
      <c r="AF194" s="5" t="s">
        <v>45</v>
      </c>
      <c r="AG194" s="3">
        <v>45831</v>
      </c>
      <c r="AH194" s="3">
        <v>45837</v>
      </c>
    </row>
    <row r="195" spans="1:34" ht="12" customHeight="1">
      <c r="A195" s="3">
        <v>45828</v>
      </c>
      <c r="B195" s="5" t="s">
        <v>597</v>
      </c>
      <c r="C195" s="5" t="s">
        <v>590</v>
      </c>
      <c r="D195" s="5" t="s">
        <v>460</v>
      </c>
      <c r="E195" s="5" t="s">
        <v>63</v>
      </c>
      <c r="F195" s="5" t="str">
        <f t="shared" si="24"/>
        <v>Rice</v>
      </c>
      <c r="G195" s="5" t="s">
        <v>49</v>
      </c>
      <c r="H195" s="5" t="s">
        <v>444</v>
      </c>
      <c r="I195" s="5" t="s">
        <v>80</v>
      </c>
      <c r="J195" s="6">
        <v>10</v>
      </c>
      <c r="K195" s="6">
        <v>260</v>
      </c>
      <c r="L195" s="6">
        <v>389.55</v>
      </c>
      <c r="M195" s="6">
        <f t="shared" si="25"/>
        <v>101283</v>
      </c>
      <c r="N195" s="6">
        <v>4080</v>
      </c>
      <c r="O195" s="6">
        <v>371</v>
      </c>
      <c r="P195" s="6">
        <f t="shared" si="26"/>
        <v>96460</v>
      </c>
      <c r="Q195" s="6">
        <f t="shared" si="27"/>
        <v>4823</v>
      </c>
      <c r="R195" s="6">
        <v>10000</v>
      </c>
      <c r="S195" s="6">
        <v>0</v>
      </c>
      <c r="T195" s="6">
        <v>0</v>
      </c>
      <c r="U195" s="6">
        <v>70</v>
      </c>
      <c r="V195" s="6">
        <v>0</v>
      </c>
      <c r="W195" s="6">
        <f t="shared" si="28"/>
        <v>4080</v>
      </c>
      <c r="X195" s="6">
        <f t="shared" si="29"/>
        <v>10070</v>
      </c>
      <c r="Y195" s="6">
        <v>0</v>
      </c>
      <c r="Z195" s="6">
        <f t="shared" si="30"/>
        <v>-1167</v>
      </c>
      <c r="AA195" s="6" t="str">
        <f t="shared" si="31"/>
        <v xml:space="preserve"> Loss</v>
      </c>
      <c r="AB195" s="5" t="s">
        <v>565</v>
      </c>
      <c r="AC195" s="5" t="s">
        <v>82</v>
      </c>
      <c r="AD195" s="5" t="s">
        <v>88</v>
      </c>
      <c r="AE195" s="5" t="s">
        <v>161</v>
      </c>
      <c r="AF195" s="5" t="s">
        <v>45</v>
      </c>
      <c r="AG195" s="3">
        <v>45832</v>
      </c>
      <c r="AH195" s="3">
        <v>45838</v>
      </c>
    </row>
    <row r="196" spans="1:34" ht="12" customHeight="1">
      <c r="A196" s="3">
        <v>45828</v>
      </c>
      <c r="B196" s="5" t="s">
        <v>598</v>
      </c>
      <c r="C196" s="5" t="s">
        <v>599</v>
      </c>
      <c r="D196" s="5" t="s">
        <v>415</v>
      </c>
      <c r="E196" s="5" t="s">
        <v>63</v>
      </c>
      <c r="F196" s="5" t="str">
        <f t="shared" si="24"/>
        <v>Rice</v>
      </c>
      <c r="G196" s="5" t="s">
        <v>256</v>
      </c>
      <c r="H196" s="5" t="s">
        <v>444</v>
      </c>
      <c r="I196" s="5" t="s">
        <v>58</v>
      </c>
      <c r="J196" s="6">
        <v>40</v>
      </c>
      <c r="K196" s="6">
        <v>1080</v>
      </c>
      <c r="L196" s="6">
        <v>430.5</v>
      </c>
      <c r="M196" s="6">
        <f t="shared" si="25"/>
        <v>464940</v>
      </c>
      <c r="N196" s="6">
        <v>0</v>
      </c>
      <c r="O196" s="6">
        <v>410</v>
      </c>
      <c r="P196" s="6">
        <f t="shared" si="26"/>
        <v>442800</v>
      </c>
      <c r="Q196" s="6">
        <f t="shared" si="27"/>
        <v>22140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f t="shared" si="28"/>
        <v>0</v>
      </c>
      <c r="X196" s="6">
        <f t="shared" si="29"/>
        <v>0</v>
      </c>
      <c r="Y196" s="6">
        <v>0</v>
      </c>
      <c r="Z196" s="6">
        <f t="shared" si="30"/>
        <v>22140</v>
      </c>
      <c r="AA196" s="6" t="str">
        <f t="shared" si="31"/>
        <v xml:space="preserve"> Profit</v>
      </c>
      <c r="AB196" s="5" t="s">
        <v>951</v>
      </c>
      <c r="AC196" s="5" t="s">
        <v>82</v>
      </c>
      <c r="AD196" s="5" t="s">
        <v>88</v>
      </c>
      <c r="AE196" s="5" t="s">
        <v>114</v>
      </c>
      <c r="AF196" s="5" t="s">
        <v>115</v>
      </c>
      <c r="AG196" s="3">
        <v>45832</v>
      </c>
      <c r="AH196" s="3">
        <v>45838</v>
      </c>
    </row>
    <row r="197" spans="1:34" ht="12" customHeight="1">
      <c r="A197" s="3">
        <v>45828</v>
      </c>
      <c r="B197" s="5" t="s">
        <v>600</v>
      </c>
      <c r="C197" s="5" t="s">
        <v>599</v>
      </c>
      <c r="D197" s="5" t="s">
        <v>415</v>
      </c>
      <c r="E197" s="5" t="s">
        <v>397</v>
      </c>
      <c r="F197" s="5" t="str">
        <f t="shared" si="24"/>
        <v>Rice</v>
      </c>
      <c r="G197" s="5" t="s">
        <v>256</v>
      </c>
      <c r="H197" s="5" t="s">
        <v>444</v>
      </c>
      <c r="I197" s="5" t="s">
        <v>58</v>
      </c>
      <c r="J197" s="6">
        <v>40</v>
      </c>
      <c r="K197" s="6">
        <v>1080</v>
      </c>
      <c r="L197" s="6">
        <v>430.5</v>
      </c>
      <c r="M197" s="6">
        <f t="shared" si="25"/>
        <v>464940</v>
      </c>
      <c r="N197" s="6">
        <v>0</v>
      </c>
      <c r="O197" s="6">
        <v>410</v>
      </c>
      <c r="P197" s="6">
        <f t="shared" si="26"/>
        <v>442800</v>
      </c>
      <c r="Q197" s="6">
        <f t="shared" si="27"/>
        <v>22140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f t="shared" si="28"/>
        <v>0</v>
      </c>
      <c r="X197" s="6">
        <f t="shared" si="29"/>
        <v>0</v>
      </c>
      <c r="Y197" s="6">
        <v>0</v>
      </c>
      <c r="Z197" s="6">
        <f t="shared" si="30"/>
        <v>22140</v>
      </c>
      <c r="AA197" s="6" t="str">
        <f t="shared" si="31"/>
        <v xml:space="preserve"> Profit</v>
      </c>
      <c r="AB197" s="5" t="s">
        <v>601</v>
      </c>
      <c r="AC197" s="5" t="s">
        <v>168</v>
      </c>
      <c r="AD197" s="5" t="s">
        <v>43</v>
      </c>
      <c r="AE197" s="5" t="s">
        <v>114</v>
      </c>
      <c r="AF197" s="5" t="s">
        <v>115</v>
      </c>
      <c r="AG197" s="3">
        <v>45832</v>
      </c>
      <c r="AH197" s="3">
        <v>45838</v>
      </c>
    </row>
    <row r="198" spans="1:34" ht="12" customHeight="1">
      <c r="A198" s="3">
        <v>45828</v>
      </c>
      <c r="B198" s="5" t="s">
        <v>602</v>
      </c>
      <c r="C198" s="5" t="s">
        <v>593</v>
      </c>
      <c r="D198" s="5" t="s">
        <v>415</v>
      </c>
      <c r="E198" s="5" t="s">
        <v>397</v>
      </c>
      <c r="F198" s="5" t="str">
        <f t="shared" si="24"/>
        <v>Rice</v>
      </c>
      <c r="G198" s="5" t="s">
        <v>49</v>
      </c>
      <c r="H198" s="5" t="s">
        <v>444</v>
      </c>
      <c r="I198" s="5" t="s">
        <v>80</v>
      </c>
      <c r="J198" s="6">
        <v>10</v>
      </c>
      <c r="K198" s="6">
        <v>260</v>
      </c>
      <c r="L198" s="6">
        <v>390.6</v>
      </c>
      <c r="M198" s="6">
        <f t="shared" si="25"/>
        <v>101556</v>
      </c>
      <c r="N198" s="6">
        <v>3672</v>
      </c>
      <c r="O198" s="6">
        <v>372</v>
      </c>
      <c r="P198" s="6">
        <f t="shared" si="26"/>
        <v>96720</v>
      </c>
      <c r="Q198" s="6">
        <f t="shared" si="27"/>
        <v>4836</v>
      </c>
      <c r="R198" s="6">
        <v>9000</v>
      </c>
      <c r="S198" s="6">
        <v>0</v>
      </c>
      <c r="T198" s="6">
        <v>0</v>
      </c>
      <c r="U198" s="6">
        <v>63</v>
      </c>
      <c r="V198" s="6">
        <v>10.5</v>
      </c>
      <c r="W198" s="6">
        <f t="shared" si="28"/>
        <v>3672</v>
      </c>
      <c r="X198" s="6">
        <f t="shared" si="29"/>
        <v>9073.5</v>
      </c>
      <c r="Y198" s="6">
        <v>0</v>
      </c>
      <c r="Z198" s="6">
        <f t="shared" si="30"/>
        <v>-565.5</v>
      </c>
      <c r="AA198" s="6" t="str">
        <f t="shared" si="31"/>
        <v xml:space="preserve"> Loss</v>
      </c>
      <c r="AB198" s="5" t="s">
        <v>603</v>
      </c>
      <c r="AC198" s="5" t="s">
        <v>604</v>
      </c>
      <c r="AD198" s="5" t="s">
        <v>43</v>
      </c>
      <c r="AE198" s="5" t="s">
        <v>44</v>
      </c>
      <c r="AF198" s="5" t="s">
        <v>115</v>
      </c>
      <c r="AG198" s="3">
        <v>45832</v>
      </c>
      <c r="AH198" s="3">
        <v>45838</v>
      </c>
    </row>
    <row r="199" spans="1:34" ht="12" customHeight="1">
      <c r="A199" s="3">
        <v>45828</v>
      </c>
      <c r="B199" s="5" t="s">
        <v>605</v>
      </c>
      <c r="C199" s="5" t="s">
        <v>513</v>
      </c>
      <c r="D199" s="5" t="s">
        <v>415</v>
      </c>
      <c r="E199" s="5" t="s">
        <v>397</v>
      </c>
      <c r="F199" s="5" t="str">
        <f t="shared" si="24"/>
        <v>Rice</v>
      </c>
      <c r="G199" s="5" t="s">
        <v>86</v>
      </c>
      <c r="H199" s="5" t="s">
        <v>444</v>
      </c>
      <c r="I199" s="5" t="s">
        <v>80</v>
      </c>
      <c r="J199" s="6">
        <v>10</v>
      </c>
      <c r="K199" s="6">
        <v>260</v>
      </c>
      <c r="L199" s="6">
        <v>391.65</v>
      </c>
      <c r="M199" s="6">
        <f t="shared" si="25"/>
        <v>101829</v>
      </c>
      <c r="N199" s="6">
        <v>3672</v>
      </c>
      <c r="O199" s="6">
        <v>373</v>
      </c>
      <c r="P199" s="6">
        <f t="shared" si="26"/>
        <v>96980</v>
      </c>
      <c r="Q199" s="6">
        <f t="shared" si="27"/>
        <v>4849</v>
      </c>
      <c r="R199" s="6">
        <v>9000</v>
      </c>
      <c r="S199" s="6">
        <v>0</v>
      </c>
      <c r="T199" s="6">
        <v>0</v>
      </c>
      <c r="U199" s="6">
        <v>63</v>
      </c>
      <c r="V199" s="6">
        <v>10.5</v>
      </c>
      <c r="W199" s="6">
        <f t="shared" si="28"/>
        <v>3672</v>
      </c>
      <c r="X199" s="6">
        <f t="shared" si="29"/>
        <v>9073.5</v>
      </c>
      <c r="Y199" s="6">
        <v>0</v>
      </c>
      <c r="Z199" s="6">
        <f t="shared" si="30"/>
        <v>-552.5</v>
      </c>
      <c r="AA199" s="6" t="str">
        <f t="shared" si="31"/>
        <v xml:space="preserve"> Loss</v>
      </c>
      <c r="AB199" s="5" t="s">
        <v>952</v>
      </c>
      <c r="AC199" s="5" t="s">
        <v>604</v>
      </c>
      <c r="AD199" s="5" t="s">
        <v>67</v>
      </c>
      <c r="AE199" s="5" t="s">
        <v>44</v>
      </c>
      <c r="AF199" s="5" t="s">
        <v>115</v>
      </c>
      <c r="AG199" s="3">
        <v>45832</v>
      </c>
      <c r="AH199" s="3">
        <v>45838</v>
      </c>
    </row>
    <row r="200" spans="1:34" ht="12" customHeight="1">
      <c r="A200" s="3">
        <v>45828</v>
      </c>
      <c r="B200" s="5" t="s">
        <v>606</v>
      </c>
      <c r="C200" s="5" t="s">
        <v>599</v>
      </c>
      <c r="D200" s="5" t="s">
        <v>415</v>
      </c>
      <c r="E200" s="5" t="s">
        <v>63</v>
      </c>
      <c r="F200" s="5" t="str">
        <f t="shared" si="24"/>
        <v>Rice</v>
      </c>
      <c r="G200" s="5" t="s">
        <v>256</v>
      </c>
      <c r="H200" s="5" t="s">
        <v>444</v>
      </c>
      <c r="I200" s="5" t="s">
        <v>58</v>
      </c>
      <c r="J200" s="6">
        <v>40</v>
      </c>
      <c r="K200" s="6">
        <v>1080</v>
      </c>
      <c r="L200" s="6">
        <v>430.5</v>
      </c>
      <c r="M200" s="6">
        <f t="shared" si="25"/>
        <v>464940</v>
      </c>
      <c r="N200" s="6">
        <v>0</v>
      </c>
      <c r="O200" s="6">
        <v>410</v>
      </c>
      <c r="P200" s="6">
        <f t="shared" si="26"/>
        <v>442800</v>
      </c>
      <c r="Q200" s="6">
        <f t="shared" si="27"/>
        <v>22140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f t="shared" si="28"/>
        <v>0</v>
      </c>
      <c r="X200" s="6">
        <f t="shared" si="29"/>
        <v>0</v>
      </c>
      <c r="Y200" s="6">
        <v>0</v>
      </c>
      <c r="Z200" s="6">
        <f t="shared" si="30"/>
        <v>22140</v>
      </c>
      <c r="AA200" s="6" t="str">
        <f t="shared" si="31"/>
        <v xml:space="preserve"> Profit</v>
      </c>
      <c r="AB200" s="5" t="s">
        <v>607</v>
      </c>
      <c r="AC200" s="5" t="s">
        <v>608</v>
      </c>
      <c r="AD200" s="5" t="s">
        <v>67</v>
      </c>
      <c r="AE200" s="5" t="s">
        <v>161</v>
      </c>
      <c r="AF200" s="5" t="s">
        <v>45</v>
      </c>
      <c r="AG200" s="3">
        <v>45832</v>
      </c>
      <c r="AH200" s="3">
        <v>45838</v>
      </c>
    </row>
    <row r="201" spans="1:34" ht="12" customHeight="1">
      <c r="A201" s="3">
        <v>45828</v>
      </c>
      <c r="B201" s="5" t="s">
        <v>609</v>
      </c>
      <c r="C201" s="5" t="s">
        <v>596</v>
      </c>
      <c r="D201" s="5" t="s">
        <v>415</v>
      </c>
      <c r="E201" s="5" t="s">
        <v>63</v>
      </c>
      <c r="F201" s="5" t="str">
        <f t="shared" si="24"/>
        <v>Rice</v>
      </c>
      <c r="G201" s="5" t="s">
        <v>49</v>
      </c>
      <c r="H201" s="5" t="s">
        <v>444</v>
      </c>
      <c r="I201" s="5" t="s">
        <v>58</v>
      </c>
      <c r="J201" s="6">
        <v>10</v>
      </c>
      <c r="K201" s="6">
        <v>260</v>
      </c>
      <c r="L201" s="6">
        <v>389.55</v>
      </c>
      <c r="M201" s="6">
        <f t="shared" si="25"/>
        <v>101283</v>
      </c>
      <c r="N201" s="6">
        <v>0</v>
      </c>
      <c r="O201" s="6">
        <v>371</v>
      </c>
      <c r="P201" s="6">
        <f t="shared" si="26"/>
        <v>96460</v>
      </c>
      <c r="Q201" s="6">
        <f t="shared" si="27"/>
        <v>4823</v>
      </c>
      <c r="R201" s="6">
        <v>0</v>
      </c>
      <c r="S201" s="6">
        <v>0</v>
      </c>
      <c r="T201" s="6">
        <v>0</v>
      </c>
      <c r="U201" s="6">
        <v>0</v>
      </c>
      <c r="V201" s="6">
        <v>105.5</v>
      </c>
      <c r="W201" s="6">
        <f t="shared" si="28"/>
        <v>0</v>
      </c>
      <c r="X201" s="6">
        <f t="shared" si="29"/>
        <v>105.5</v>
      </c>
      <c r="Y201" s="6">
        <v>0</v>
      </c>
      <c r="Z201" s="6">
        <f t="shared" si="30"/>
        <v>4717.5</v>
      </c>
      <c r="AA201" s="6" t="str">
        <f t="shared" si="31"/>
        <v xml:space="preserve"> Profit</v>
      </c>
      <c r="AB201" s="5" t="s">
        <v>591</v>
      </c>
      <c r="AC201" s="5" t="s">
        <v>608</v>
      </c>
      <c r="AD201" s="5" t="s">
        <v>67</v>
      </c>
      <c r="AE201" s="5" t="s">
        <v>161</v>
      </c>
      <c r="AF201" s="5" t="s">
        <v>45</v>
      </c>
      <c r="AG201" s="3">
        <v>45832</v>
      </c>
      <c r="AH201" s="3">
        <v>45838</v>
      </c>
    </row>
    <row r="202" spans="1:34" ht="12" customHeight="1">
      <c r="A202" s="3">
        <v>45828</v>
      </c>
      <c r="B202" s="5" t="s">
        <v>610</v>
      </c>
      <c r="C202" s="5" t="s">
        <v>599</v>
      </c>
      <c r="D202" s="5" t="s">
        <v>460</v>
      </c>
      <c r="E202" s="5" t="s">
        <v>63</v>
      </c>
      <c r="F202" s="5" t="str">
        <f t="shared" si="24"/>
        <v>Rice</v>
      </c>
      <c r="G202" s="5" t="s">
        <v>256</v>
      </c>
      <c r="H202" s="5" t="s">
        <v>444</v>
      </c>
      <c r="I202" s="5" t="s">
        <v>58</v>
      </c>
      <c r="J202" s="6">
        <v>30</v>
      </c>
      <c r="K202" s="6">
        <v>810</v>
      </c>
      <c r="L202" s="6">
        <v>430.5</v>
      </c>
      <c r="M202" s="6">
        <f t="shared" si="25"/>
        <v>348705</v>
      </c>
      <c r="N202" s="6">
        <v>0</v>
      </c>
      <c r="O202" s="6">
        <v>410</v>
      </c>
      <c r="P202" s="6">
        <f t="shared" si="26"/>
        <v>332100</v>
      </c>
      <c r="Q202" s="6">
        <f t="shared" si="27"/>
        <v>16605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f t="shared" si="28"/>
        <v>0</v>
      </c>
      <c r="X202" s="6">
        <f t="shared" si="29"/>
        <v>0</v>
      </c>
      <c r="Y202" s="6">
        <v>0</v>
      </c>
      <c r="Z202" s="6">
        <f t="shared" si="30"/>
        <v>16605</v>
      </c>
      <c r="AA202" s="6" t="str">
        <f t="shared" si="31"/>
        <v xml:space="preserve"> Profit</v>
      </c>
      <c r="AB202" s="5" t="s">
        <v>611</v>
      </c>
      <c r="AC202" s="5" t="s">
        <v>66</v>
      </c>
      <c r="AD202" s="5" t="s">
        <v>43</v>
      </c>
      <c r="AE202" s="5" t="s">
        <v>161</v>
      </c>
      <c r="AF202" s="5" t="s">
        <v>45</v>
      </c>
      <c r="AG202" s="3">
        <v>45832</v>
      </c>
      <c r="AH202" s="3">
        <v>45838</v>
      </c>
    </row>
    <row r="203" spans="1:34" ht="12" customHeight="1">
      <c r="A203" s="3">
        <v>45828</v>
      </c>
      <c r="B203" s="5" t="s">
        <v>612</v>
      </c>
      <c r="C203" s="5" t="s">
        <v>585</v>
      </c>
      <c r="D203" s="5" t="s">
        <v>415</v>
      </c>
      <c r="E203" s="5" t="s">
        <v>63</v>
      </c>
      <c r="F203" s="5" t="str">
        <f t="shared" si="24"/>
        <v>Rice</v>
      </c>
      <c r="G203" s="5" t="s">
        <v>49</v>
      </c>
      <c r="H203" s="5" t="s">
        <v>444</v>
      </c>
      <c r="I203" s="5" t="s">
        <v>58</v>
      </c>
      <c r="J203" s="6">
        <v>5</v>
      </c>
      <c r="K203" s="6">
        <v>130</v>
      </c>
      <c r="L203" s="6">
        <v>390.6</v>
      </c>
      <c r="M203" s="6">
        <f t="shared" si="25"/>
        <v>50778</v>
      </c>
      <c r="N203" s="6">
        <v>0</v>
      </c>
      <c r="O203" s="6">
        <v>372</v>
      </c>
      <c r="P203" s="6">
        <f t="shared" si="26"/>
        <v>48360</v>
      </c>
      <c r="Q203" s="6">
        <f t="shared" si="27"/>
        <v>2418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f t="shared" si="28"/>
        <v>0</v>
      </c>
      <c r="X203" s="6">
        <f t="shared" si="29"/>
        <v>0</v>
      </c>
      <c r="Y203" s="6">
        <v>0</v>
      </c>
      <c r="Z203" s="6">
        <f t="shared" si="30"/>
        <v>2418</v>
      </c>
      <c r="AA203" s="6" t="str">
        <f t="shared" si="31"/>
        <v xml:space="preserve"> Profit</v>
      </c>
      <c r="AB203" s="5" t="s">
        <v>982</v>
      </c>
      <c r="AC203" s="5" t="s">
        <v>66</v>
      </c>
      <c r="AD203" s="5" t="s">
        <v>43</v>
      </c>
      <c r="AE203" s="5" t="s">
        <v>161</v>
      </c>
      <c r="AF203" s="5" t="s">
        <v>45</v>
      </c>
      <c r="AG203" s="3">
        <v>45832</v>
      </c>
      <c r="AH203" s="3">
        <v>45838</v>
      </c>
    </row>
    <row r="204" spans="1:34" ht="12" customHeight="1">
      <c r="A204" s="3">
        <v>45828</v>
      </c>
      <c r="B204" s="5" t="s">
        <v>613</v>
      </c>
      <c r="C204" s="5" t="s">
        <v>614</v>
      </c>
      <c r="D204" s="5" t="s">
        <v>415</v>
      </c>
      <c r="E204" s="5" t="s">
        <v>397</v>
      </c>
      <c r="F204" s="5" t="str">
        <f t="shared" si="24"/>
        <v>Rice</v>
      </c>
      <c r="G204" s="5" t="s">
        <v>256</v>
      </c>
      <c r="H204" s="5" t="s">
        <v>444</v>
      </c>
      <c r="I204" s="5" t="s">
        <v>58</v>
      </c>
      <c r="J204" s="6">
        <v>50</v>
      </c>
      <c r="K204" s="6">
        <v>1350</v>
      </c>
      <c r="L204" s="6">
        <v>428.4</v>
      </c>
      <c r="M204" s="6">
        <f t="shared" si="25"/>
        <v>578340</v>
      </c>
      <c r="N204" s="6">
        <v>0</v>
      </c>
      <c r="O204" s="6">
        <v>408</v>
      </c>
      <c r="P204" s="6">
        <f t="shared" si="26"/>
        <v>550800</v>
      </c>
      <c r="Q204" s="6">
        <f t="shared" si="27"/>
        <v>27540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f t="shared" si="28"/>
        <v>0</v>
      </c>
      <c r="X204" s="6">
        <f t="shared" si="29"/>
        <v>0</v>
      </c>
      <c r="Y204" s="6">
        <v>0</v>
      </c>
      <c r="Z204" s="6">
        <f t="shared" si="30"/>
        <v>27540</v>
      </c>
      <c r="AA204" s="6" t="str">
        <f t="shared" si="31"/>
        <v xml:space="preserve"> Profit</v>
      </c>
      <c r="AB204" s="5" t="s">
        <v>958</v>
      </c>
      <c r="AC204" s="5" t="s">
        <v>42</v>
      </c>
      <c r="AD204" s="5" t="s">
        <v>43</v>
      </c>
      <c r="AE204" s="5" t="s">
        <v>161</v>
      </c>
      <c r="AF204" s="5" t="s">
        <v>45</v>
      </c>
      <c r="AG204" s="3">
        <v>45832</v>
      </c>
      <c r="AH204" s="3">
        <v>45838</v>
      </c>
    </row>
    <row r="205" spans="1:34" ht="12" customHeight="1">
      <c r="A205" s="3">
        <v>45828</v>
      </c>
      <c r="B205" s="5" t="s">
        <v>616</v>
      </c>
      <c r="C205" s="5" t="s">
        <v>614</v>
      </c>
      <c r="D205" s="5" t="s">
        <v>415</v>
      </c>
      <c r="E205" s="5" t="s">
        <v>397</v>
      </c>
      <c r="F205" s="5" t="str">
        <f t="shared" si="24"/>
        <v>Rice</v>
      </c>
      <c r="G205" s="5" t="s">
        <v>256</v>
      </c>
      <c r="H205" s="5" t="s">
        <v>444</v>
      </c>
      <c r="I205" s="5" t="s">
        <v>58</v>
      </c>
      <c r="J205" s="6">
        <v>50</v>
      </c>
      <c r="K205" s="6">
        <v>1350</v>
      </c>
      <c r="L205" s="6">
        <v>428.4</v>
      </c>
      <c r="M205" s="6">
        <f t="shared" si="25"/>
        <v>578340</v>
      </c>
      <c r="N205" s="6">
        <v>0</v>
      </c>
      <c r="O205" s="6">
        <v>408</v>
      </c>
      <c r="P205" s="6">
        <f t="shared" si="26"/>
        <v>550800</v>
      </c>
      <c r="Q205" s="6">
        <f t="shared" si="27"/>
        <v>27540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f t="shared" si="28"/>
        <v>0</v>
      </c>
      <c r="X205" s="6">
        <f t="shared" si="29"/>
        <v>0</v>
      </c>
      <c r="Y205" s="6">
        <v>0</v>
      </c>
      <c r="Z205" s="6">
        <f t="shared" si="30"/>
        <v>27540</v>
      </c>
      <c r="AA205" s="6" t="str">
        <f t="shared" si="31"/>
        <v xml:space="preserve"> Profit</v>
      </c>
      <c r="AB205" s="5" t="s">
        <v>615</v>
      </c>
      <c r="AC205" s="5" t="s">
        <v>193</v>
      </c>
      <c r="AD205" s="5" t="s">
        <v>67</v>
      </c>
      <c r="AE205" s="5" t="s">
        <v>114</v>
      </c>
      <c r="AF205" s="5" t="s">
        <v>115</v>
      </c>
      <c r="AG205" s="3">
        <v>45832</v>
      </c>
      <c r="AH205" s="3">
        <v>45838</v>
      </c>
    </row>
    <row r="206" spans="1:34" ht="12" customHeight="1">
      <c r="A206" s="3">
        <v>45828</v>
      </c>
      <c r="B206" s="5" t="s">
        <v>617</v>
      </c>
      <c r="C206" s="5" t="s">
        <v>618</v>
      </c>
      <c r="D206" s="5" t="s">
        <v>545</v>
      </c>
      <c r="E206" s="5" t="s">
        <v>63</v>
      </c>
      <c r="F206" s="5" t="str">
        <f t="shared" si="24"/>
        <v>Rice</v>
      </c>
      <c r="G206" s="5" t="s">
        <v>533</v>
      </c>
      <c r="H206" s="5" t="s">
        <v>444</v>
      </c>
      <c r="I206" s="5" t="s">
        <v>58</v>
      </c>
      <c r="J206" s="6">
        <v>2</v>
      </c>
      <c r="K206" s="6">
        <v>50</v>
      </c>
      <c r="L206" s="6">
        <v>955.5</v>
      </c>
      <c r="M206" s="6">
        <f t="shared" si="25"/>
        <v>47775</v>
      </c>
      <c r="N206" s="6">
        <v>0</v>
      </c>
      <c r="O206" s="6">
        <v>910</v>
      </c>
      <c r="P206" s="6">
        <f t="shared" si="26"/>
        <v>45500</v>
      </c>
      <c r="Q206" s="6">
        <f t="shared" si="27"/>
        <v>2275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f t="shared" si="28"/>
        <v>0</v>
      </c>
      <c r="X206" s="6">
        <f t="shared" si="29"/>
        <v>0</v>
      </c>
      <c r="Y206" s="6">
        <v>0</v>
      </c>
      <c r="Z206" s="6">
        <f t="shared" si="30"/>
        <v>2275</v>
      </c>
      <c r="AA206" s="6" t="str">
        <f t="shared" si="31"/>
        <v xml:space="preserve"> Profit</v>
      </c>
      <c r="AB206" s="5" t="s">
        <v>980</v>
      </c>
      <c r="AC206" s="5" t="s">
        <v>66</v>
      </c>
      <c r="AD206" s="5" t="s">
        <v>67</v>
      </c>
      <c r="AE206" s="5" t="s">
        <v>161</v>
      </c>
      <c r="AF206" s="5" t="s">
        <v>45</v>
      </c>
      <c r="AG206" s="3">
        <v>45832</v>
      </c>
      <c r="AH206" s="3">
        <v>45838</v>
      </c>
    </row>
    <row r="207" spans="1:34" ht="12" customHeight="1">
      <c r="A207" s="3">
        <v>45829</v>
      </c>
      <c r="B207" s="5" t="s">
        <v>619</v>
      </c>
      <c r="C207" s="5" t="s">
        <v>620</v>
      </c>
      <c r="D207" s="5" t="s">
        <v>545</v>
      </c>
      <c r="E207" s="5" t="s">
        <v>63</v>
      </c>
      <c r="F207" s="5" t="str">
        <f t="shared" si="24"/>
        <v>Rice</v>
      </c>
      <c r="G207" s="5" t="s">
        <v>533</v>
      </c>
      <c r="H207" s="5" t="s">
        <v>444</v>
      </c>
      <c r="I207" s="5" t="s">
        <v>80</v>
      </c>
      <c r="J207" s="6">
        <v>2</v>
      </c>
      <c r="K207" s="6">
        <v>50</v>
      </c>
      <c r="L207" s="6">
        <v>960.75</v>
      </c>
      <c r="M207" s="6">
        <f t="shared" si="25"/>
        <v>48037.5</v>
      </c>
      <c r="N207" s="6">
        <v>469.2</v>
      </c>
      <c r="O207" s="6">
        <v>915</v>
      </c>
      <c r="P207" s="6">
        <f t="shared" si="26"/>
        <v>45750</v>
      </c>
      <c r="Q207" s="6">
        <f t="shared" si="27"/>
        <v>2287.5</v>
      </c>
      <c r="R207" s="6">
        <v>1150</v>
      </c>
      <c r="S207" s="6">
        <v>0</v>
      </c>
      <c r="T207" s="6">
        <v>0</v>
      </c>
      <c r="U207" s="6">
        <v>8.0500000000000007</v>
      </c>
      <c r="V207" s="6">
        <v>8.58</v>
      </c>
      <c r="W207" s="6">
        <f t="shared" si="28"/>
        <v>469.2</v>
      </c>
      <c r="X207" s="6">
        <f t="shared" si="29"/>
        <v>1166.6299999999999</v>
      </c>
      <c r="Y207" s="6">
        <v>0</v>
      </c>
      <c r="Z207" s="6">
        <f t="shared" si="30"/>
        <v>1590.0700000000002</v>
      </c>
      <c r="AA207" s="6" t="str">
        <f t="shared" si="31"/>
        <v xml:space="preserve"> Profit</v>
      </c>
      <c r="AB207" s="5" t="s">
        <v>981</v>
      </c>
      <c r="AC207" s="5" t="s">
        <v>82</v>
      </c>
      <c r="AD207" s="5" t="s">
        <v>88</v>
      </c>
      <c r="AE207" s="5" t="s">
        <v>114</v>
      </c>
      <c r="AF207" s="5" t="s">
        <v>115</v>
      </c>
      <c r="AG207" s="3">
        <v>45833</v>
      </c>
      <c r="AH207" s="3">
        <v>45839</v>
      </c>
    </row>
    <row r="208" spans="1:34" ht="12" customHeight="1">
      <c r="A208" s="3">
        <v>45829</v>
      </c>
      <c r="B208" s="5" t="s">
        <v>621</v>
      </c>
      <c r="C208" s="5" t="s">
        <v>622</v>
      </c>
      <c r="D208" s="5" t="s">
        <v>545</v>
      </c>
      <c r="E208" s="5" t="s">
        <v>63</v>
      </c>
      <c r="F208" s="5" t="str">
        <f t="shared" si="24"/>
        <v>Rice</v>
      </c>
      <c r="G208" s="5" t="s">
        <v>533</v>
      </c>
      <c r="H208" s="5" t="s">
        <v>444</v>
      </c>
      <c r="I208" s="5" t="s">
        <v>80</v>
      </c>
      <c r="J208" s="6">
        <v>2</v>
      </c>
      <c r="K208" s="6">
        <v>50</v>
      </c>
      <c r="L208" s="6">
        <v>1023.75</v>
      </c>
      <c r="M208" s="6">
        <f t="shared" si="25"/>
        <v>51187.5</v>
      </c>
      <c r="N208" s="6">
        <v>497.76</v>
      </c>
      <c r="O208" s="6">
        <v>975</v>
      </c>
      <c r="P208" s="6">
        <f t="shared" si="26"/>
        <v>48750</v>
      </c>
      <c r="Q208" s="6">
        <f t="shared" si="27"/>
        <v>2437.5</v>
      </c>
      <c r="R208" s="6">
        <v>1220</v>
      </c>
      <c r="S208" s="6">
        <v>0</v>
      </c>
      <c r="T208" s="6">
        <v>0</v>
      </c>
      <c r="U208" s="6">
        <v>8.5399999999999991</v>
      </c>
      <c r="V208" s="6">
        <v>8.58</v>
      </c>
      <c r="W208" s="6">
        <f t="shared" si="28"/>
        <v>497.76</v>
      </c>
      <c r="X208" s="6">
        <f t="shared" si="29"/>
        <v>1237.1199999999999</v>
      </c>
      <c r="Y208" s="6">
        <v>0</v>
      </c>
      <c r="Z208" s="6">
        <f t="shared" si="30"/>
        <v>1698.14</v>
      </c>
      <c r="AA208" s="6" t="str">
        <f t="shared" si="31"/>
        <v xml:space="preserve"> Profit</v>
      </c>
      <c r="AB208" s="5" t="s">
        <v>969</v>
      </c>
      <c r="AC208" s="5" t="s">
        <v>82</v>
      </c>
      <c r="AD208" s="5" t="s">
        <v>88</v>
      </c>
      <c r="AE208" s="5" t="s">
        <v>114</v>
      </c>
      <c r="AF208" s="5" t="s">
        <v>115</v>
      </c>
      <c r="AG208" s="3">
        <v>45833</v>
      </c>
      <c r="AH208" s="3">
        <v>45839</v>
      </c>
    </row>
    <row r="209" spans="1:34" ht="12" customHeight="1">
      <c r="A209" s="3">
        <v>45829</v>
      </c>
      <c r="B209" s="5" t="s">
        <v>623</v>
      </c>
      <c r="C209" s="5" t="s">
        <v>624</v>
      </c>
      <c r="D209" s="5" t="s">
        <v>625</v>
      </c>
      <c r="E209" s="5" t="s">
        <v>397</v>
      </c>
      <c r="F209" s="5" t="str">
        <f t="shared" si="24"/>
        <v>Rice</v>
      </c>
      <c r="G209" s="5" t="s">
        <v>272</v>
      </c>
      <c r="H209" s="5" t="s">
        <v>64</v>
      </c>
      <c r="I209" s="5" t="s">
        <v>58</v>
      </c>
      <c r="J209" s="6">
        <v>3</v>
      </c>
      <c r="K209" s="6">
        <v>75</v>
      </c>
      <c r="L209" s="6">
        <v>850.5</v>
      </c>
      <c r="M209" s="6">
        <f t="shared" si="25"/>
        <v>63787.5</v>
      </c>
      <c r="N209" s="6">
        <v>0</v>
      </c>
      <c r="O209" s="6">
        <v>810</v>
      </c>
      <c r="P209" s="6">
        <f t="shared" si="26"/>
        <v>60750</v>
      </c>
      <c r="Q209" s="6">
        <f t="shared" si="27"/>
        <v>3037.5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f t="shared" si="28"/>
        <v>0</v>
      </c>
      <c r="X209" s="6">
        <f t="shared" si="29"/>
        <v>0</v>
      </c>
      <c r="Y209" s="6">
        <v>0</v>
      </c>
      <c r="Z209" s="6">
        <f t="shared" si="30"/>
        <v>3037.5</v>
      </c>
      <c r="AA209" s="6" t="str">
        <f t="shared" si="31"/>
        <v xml:space="preserve"> Profit</v>
      </c>
      <c r="AB209" s="5" t="s">
        <v>588</v>
      </c>
      <c r="AC209" s="5" t="s">
        <v>168</v>
      </c>
      <c r="AD209" s="5" t="s">
        <v>43</v>
      </c>
      <c r="AE209" s="5" t="s">
        <v>114</v>
      </c>
      <c r="AF209" s="5" t="s">
        <v>115</v>
      </c>
      <c r="AG209" s="3">
        <v>45833</v>
      </c>
      <c r="AH209" s="3">
        <v>45839</v>
      </c>
    </row>
    <row r="210" spans="1:34" ht="12" customHeight="1">
      <c r="A210" s="3">
        <v>45829</v>
      </c>
      <c r="B210" s="5" t="s">
        <v>626</v>
      </c>
      <c r="C210" s="5" t="s">
        <v>627</v>
      </c>
      <c r="D210" s="5" t="s">
        <v>628</v>
      </c>
      <c r="E210" s="5" t="s">
        <v>397</v>
      </c>
      <c r="F210" s="5" t="str">
        <f t="shared" si="24"/>
        <v>Rice</v>
      </c>
      <c r="G210" s="5" t="s">
        <v>39</v>
      </c>
      <c r="H210" s="5" t="s">
        <v>64</v>
      </c>
      <c r="I210" s="5" t="s">
        <v>80</v>
      </c>
      <c r="J210" s="6">
        <v>5</v>
      </c>
      <c r="K210" s="6">
        <v>125</v>
      </c>
      <c r="L210" s="6">
        <v>846.3</v>
      </c>
      <c r="M210" s="6">
        <f t="shared" si="25"/>
        <v>105787.5</v>
      </c>
      <c r="N210" s="6">
        <v>1020</v>
      </c>
      <c r="O210" s="6">
        <v>806</v>
      </c>
      <c r="P210" s="6">
        <f t="shared" si="26"/>
        <v>100750</v>
      </c>
      <c r="Q210" s="6">
        <f t="shared" si="27"/>
        <v>5037.5</v>
      </c>
      <c r="R210" s="6">
        <v>2500</v>
      </c>
      <c r="S210" s="6">
        <v>0</v>
      </c>
      <c r="T210" s="6">
        <v>0</v>
      </c>
      <c r="U210" s="6">
        <v>17.5</v>
      </c>
      <c r="V210" s="6">
        <v>65.02</v>
      </c>
      <c r="W210" s="6">
        <f t="shared" si="28"/>
        <v>1020</v>
      </c>
      <c r="X210" s="6">
        <f t="shared" si="29"/>
        <v>2582.52</v>
      </c>
      <c r="Y210" s="6">
        <v>0</v>
      </c>
      <c r="Z210" s="6">
        <f t="shared" si="30"/>
        <v>3474.98</v>
      </c>
      <c r="AA210" s="6" t="str">
        <f t="shared" si="31"/>
        <v xml:space="preserve"> Profit</v>
      </c>
      <c r="AB210" s="5" t="s">
        <v>977</v>
      </c>
      <c r="AC210" s="5" t="s">
        <v>66</v>
      </c>
      <c r="AD210" s="5" t="s">
        <v>67</v>
      </c>
      <c r="AE210" s="5" t="s">
        <v>44</v>
      </c>
      <c r="AF210" s="5" t="s">
        <v>115</v>
      </c>
      <c r="AG210" s="3">
        <v>45833</v>
      </c>
      <c r="AH210" s="3">
        <v>45839</v>
      </c>
    </row>
    <row r="211" spans="1:34" ht="12" customHeight="1">
      <c r="A211" s="3">
        <v>45829</v>
      </c>
      <c r="B211" s="5" t="s">
        <v>630</v>
      </c>
      <c r="C211" s="5" t="s">
        <v>631</v>
      </c>
      <c r="D211" s="5" t="s">
        <v>625</v>
      </c>
      <c r="E211" s="5" t="s">
        <v>397</v>
      </c>
      <c r="F211" s="5" t="str">
        <f t="shared" si="24"/>
        <v>Rice</v>
      </c>
      <c r="G211" s="5" t="s">
        <v>272</v>
      </c>
      <c r="H211" s="5" t="s">
        <v>64</v>
      </c>
      <c r="I211" s="5" t="s">
        <v>80</v>
      </c>
      <c r="J211" s="6">
        <v>5</v>
      </c>
      <c r="K211" s="6">
        <v>125</v>
      </c>
      <c r="L211" s="6">
        <v>840</v>
      </c>
      <c r="M211" s="6">
        <f t="shared" si="25"/>
        <v>105000</v>
      </c>
      <c r="N211" s="6">
        <v>1071</v>
      </c>
      <c r="O211" s="6">
        <v>800</v>
      </c>
      <c r="P211" s="6">
        <f t="shared" si="26"/>
        <v>100000</v>
      </c>
      <c r="Q211" s="6">
        <f t="shared" si="27"/>
        <v>5000</v>
      </c>
      <c r="R211" s="6">
        <v>2625</v>
      </c>
      <c r="S211" s="6">
        <v>0</v>
      </c>
      <c r="T211" s="6">
        <v>0</v>
      </c>
      <c r="U211" s="6">
        <v>18.375</v>
      </c>
      <c r="V211" s="6">
        <v>76.5</v>
      </c>
      <c r="W211" s="6">
        <f t="shared" si="28"/>
        <v>1071</v>
      </c>
      <c r="X211" s="6">
        <f t="shared" si="29"/>
        <v>2719.875</v>
      </c>
      <c r="Y211" s="6">
        <v>0</v>
      </c>
      <c r="Z211" s="6">
        <f t="shared" si="30"/>
        <v>3351.125</v>
      </c>
      <c r="AA211" s="6" t="str">
        <f t="shared" si="31"/>
        <v xml:space="preserve"> Profit</v>
      </c>
      <c r="AB211" s="5" t="s">
        <v>629</v>
      </c>
      <c r="AC211" s="5" t="s">
        <v>168</v>
      </c>
      <c r="AD211" s="5" t="s">
        <v>43</v>
      </c>
      <c r="AE211" s="5" t="s">
        <v>161</v>
      </c>
      <c r="AF211" s="5" t="s">
        <v>45</v>
      </c>
      <c r="AG211" s="3">
        <v>45833</v>
      </c>
      <c r="AH211" s="3">
        <v>45839</v>
      </c>
    </row>
    <row r="212" spans="1:34" ht="12" customHeight="1">
      <c r="A212" s="3">
        <v>45829</v>
      </c>
      <c r="B212" s="5" t="s">
        <v>632</v>
      </c>
      <c r="C212" s="5" t="s">
        <v>633</v>
      </c>
      <c r="D212" s="5" t="s">
        <v>634</v>
      </c>
      <c r="E212" s="5" t="s">
        <v>341</v>
      </c>
      <c r="F212" s="5" t="str">
        <f t="shared" si="24"/>
        <v>Lentils</v>
      </c>
      <c r="G212" s="5" t="s">
        <v>49</v>
      </c>
      <c r="H212" s="5" t="s">
        <v>64</v>
      </c>
      <c r="I212" s="5" t="s">
        <v>80</v>
      </c>
      <c r="J212" s="6">
        <v>1</v>
      </c>
      <c r="K212" s="6">
        <v>25</v>
      </c>
      <c r="L212" s="6">
        <v>861</v>
      </c>
      <c r="M212" s="6">
        <f t="shared" si="25"/>
        <v>21525</v>
      </c>
      <c r="N212" s="6">
        <v>408</v>
      </c>
      <c r="O212" s="6">
        <v>820</v>
      </c>
      <c r="P212" s="6">
        <f t="shared" si="26"/>
        <v>20500</v>
      </c>
      <c r="Q212" s="6">
        <f t="shared" si="27"/>
        <v>1025</v>
      </c>
      <c r="R212" s="6">
        <v>1000</v>
      </c>
      <c r="S212" s="6">
        <v>0</v>
      </c>
      <c r="T212" s="6">
        <v>0</v>
      </c>
      <c r="U212" s="6">
        <v>7</v>
      </c>
      <c r="V212" s="6">
        <v>44.994999999999997</v>
      </c>
      <c r="W212" s="6">
        <f t="shared" si="28"/>
        <v>408</v>
      </c>
      <c r="X212" s="6">
        <f t="shared" si="29"/>
        <v>1051.9949999999999</v>
      </c>
      <c r="Y212" s="6">
        <v>0</v>
      </c>
      <c r="Z212" s="6">
        <f t="shared" si="30"/>
        <v>381.00500000000011</v>
      </c>
      <c r="AA212" s="6" t="str">
        <f t="shared" si="31"/>
        <v xml:space="preserve"> Profit</v>
      </c>
      <c r="AB212" s="5" t="s">
        <v>978</v>
      </c>
      <c r="AC212" s="5" t="s">
        <v>42</v>
      </c>
      <c r="AD212" s="5" t="s">
        <v>43</v>
      </c>
      <c r="AE212" s="5" t="s">
        <v>161</v>
      </c>
      <c r="AF212" s="5" t="s">
        <v>45</v>
      </c>
      <c r="AG212" s="3">
        <v>45833</v>
      </c>
      <c r="AH212" s="3">
        <v>45839</v>
      </c>
    </row>
    <row r="213" spans="1:34" ht="12" customHeight="1">
      <c r="A213" s="3">
        <v>45829</v>
      </c>
      <c r="B213" s="5" t="s">
        <v>635</v>
      </c>
      <c r="C213" s="5" t="s">
        <v>636</v>
      </c>
      <c r="D213" s="5" t="s">
        <v>637</v>
      </c>
      <c r="E213" s="5" t="s">
        <v>341</v>
      </c>
      <c r="F213" s="5" t="str">
        <f t="shared" si="24"/>
        <v>Lentils</v>
      </c>
      <c r="G213" s="5" t="s">
        <v>272</v>
      </c>
      <c r="H213" s="5" t="s">
        <v>64</v>
      </c>
      <c r="I213" s="5" t="s">
        <v>80</v>
      </c>
      <c r="J213" s="6">
        <v>5</v>
      </c>
      <c r="K213" s="6">
        <v>126</v>
      </c>
      <c r="L213" s="6">
        <v>846.3</v>
      </c>
      <c r="M213" s="6">
        <f t="shared" si="25"/>
        <v>106633.79999999999</v>
      </c>
      <c r="N213" s="6">
        <v>1020</v>
      </c>
      <c r="O213" s="6">
        <v>806</v>
      </c>
      <c r="P213" s="6">
        <f t="shared" si="26"/>
        <v>101556</v>
      </c>
      <c r="Q213" s="6">
        <f t="shared" si="27"/>
        <v>5077.7999999999884</v>
      </c>
      <c r="R213" s="6">
        <v>2500</v>
      </c>
      <c r="S213" s="6">
        <v>0</v>
      </c>
      <c r="T213" s="6">
        <v>0</v>
      </c>
      <c r="U213" s="6">
        <v>17.5</v>
      </c>
      <c r="V213" s="6">
        <v>76.5</v>
      </c>
      <c r="W213" s="6">
        <f t="shared" si="28"/>
        <v>1020</v>
      </c>
      <c r="X213" s="6">
        <f t="shared" si="29"/>
        <v>2594</v>
      </c>
      <c r="Y213" s="6">
        <v>0</v>
      </c>
      <c r="Z213" s="6">
        <f t="shared" si="30"/>
        <v>3503.7999999999884</v>
      </c>
      <c r="AA213" s="6" t="str">
        <f t="shared" si="31"/>
        <v xml:space="preserve"> Profit</v>
      </c>
      <c r="AB213" s="5" t="s">
        <v>979</v>
      </c>
      <c r="AC213" s="5" t="s">
        <v>42</v>
      </c>
      <c r="AD213" s="5" t="s">
        <v>43</v>
      </c>
      <c r="AE213" s="5" t="s">
        <v>161</v>
      </c>
      <c r="AF213" s="5" t="s">
        <v>45</v>
      </c>
      <c r="AG213" s="3">
        <v>45833</v>
      </c>
      <c r="AH213" s="3">
        <v>45839</v>
      </c>
    </row>
    <row r="214" spans="1:34" ht="12" customHeight="1">
      <c r="A214" s="3">
        <v>45829</v>
      </c>
      <c r="B214" s="5" t="s">
        <v>638</v>
      </c>
      <c r="C214" s="5" t="s">
        <v>639</v>
      </c>
      <c r="D214" s="5" t="s">
        <v>625</v>
      </c>
      <c r="E214" s="5" t="s">
        <v>341</v>
      </c>
      <c r="F214" s="5" t="str">
        <f t="shared" si="24"/>
        <v>Lentils</v>
      </c>
      <c r="G214" s="5" t="s">
        <v>272</v>
      </c>
      <c r="H214" s="5" t="s">
        <v>64</v>
      </c>
      <c r="I214" s="5" t="s">
        <v>80</v>
      </c>
      <c r="J214" s="6">
        <v>3</v>
      </c>
      <c r="K214" s="6">
        <v>75</v>
      </c>
      <c r="L214" s="6">
        <v>861</v>
      </c>
      <c r="M214" s="6">
        <f t="shared" si="25"/>
        <v>64575</v>
      </c>
      <c r="N214" s="6">
        <v>636.48</v>
      </c>
      <c r="O214" s="6">
        <v>820</v>
      </c>
      <c r="P214" s="6">
        <f t="shared" si="26"/>
        <v>61500</v>
      </c>
      <c r="Q214" s="6">
        <f t="shared" si="27"/>
        <v>3075</v>
      </c>
      <c r="R214" s="6">
        <v>1560</v>
      </c>
      <c r="S214" s="6">
        <v>0</v>
      </c>
      <c r="T214" s="6">
        <v>0</v>
      </c>
      <c r="U214" s="6">
        <v>10.92</v>
      </c>
      <c r="V214" s="6">
        <v>65</v>
      </c>
      <c r="W214" s="6">
        <f t="shared" si="28"/>
        <v>636.48</v>
      </c>
      <c r="X214" s="6">
        <f t="shared" si="29"/>
        <v>1635.92</v>
      </c>
      <c r="Y214" s="6">
        <v>0</v>
      </c>
      <c r="Z214" s="6">
        <f t="shared" si="30"/>
        <v>2075.56</v>
      </c>
      <c r="AA214" s="6" t="str">
        <f t="shared" si="31"/>
        <v xml:space="preserve"> Profit</v>
      </c>
      <c r="AB214" s="5" t="s">
        <v>640</v>
      </c>
      <c r="AC214" s="5" t="s">
        <v>189</v>
      </c>
      <c r="AD214" s="5" t="s">
        <v>67</v>
      </c>
      <c r="AE214" s="5" t="s">
        <v>161</v>
      </c>
      <c r="AF214" s="5" t="s">
        <v>45</v>
      </c>
      <c r="AG214" s="3">
        <v>45833</v>
      </c>
      <c r="AH214" s="3">
        <v>45839</v>
      </c>
    </row>
    <row r="215" spans="1:34" ht="12" customHeight="1">
      <c r="A215" s="3">
        <v>45829</v>
      </c>
      <c r="B215" s="5" t="s">
        <v>641</v>
      </c>
      <c r="C215" s="5" t="s">
        <v>414</v>
      </c>
      <c r="D215" s="5" t="s">
        <v>642</v>
      </c>
      <c r="E215" s="5" t="s">
        <v>341</v>
      </c>
      <c r="F215" s="5" t="str">
        <f t="shared" si="24"/>
        <v>Lentils</v>
      </c>
      <c r="G215" s="5" t="s">
        <v>86</v>
      </c>
      <c r="H215" s="5" t="s">
        <v>64</v>
      </c>
      <c r="I215" s="5" t="s">
        <v>58</v>
      </c>
      <c r="J215" s="6">
        <v>2</v>
      </c>
      <c r="K215" s="6">
        <v>50</v>
      </c>
      <c r="L215" s="6">
        <v>899.85</v>
      </c>
      <c r="M215" s="6">
        <f t="shared" si="25"/>
        <v>44992.5</v>
      </c>
      <c r="N215" s="6">
        <v>0</v>
      </c>
      <c r="O215" s="6">
        <v>857</v>
      </c>
      <c r="P215" s="6">
        <f t="shared" si="26"/>
        <v>42850</v>
      </c>
      <c r="Q215" s="6">
        <f t="shared" si="27"/>
        <v>2142.5</v>
      </c>
      <c r="R215" s="6">
        <v>0</v>
      </c>
      <c r="S215" s="6">
        <v>0</v>
      </c>
      <c r="T215" s="6">
        <v>0</v>
      </c>
      <c r="U215" s="6">
        <v>0</v>
      </c>
      <c r="V215" s="6">
        <v>25.9</v>
      </c>
      <c r="W215" s="6">
        <f t="shared" si="28"/>
        <v>0</v>
      </c>
      <c r="X215" s="6">
        <f t="shared" si="29"/>
        <v>25.9</v>
      </c>
      <c r="Y215" s="6">
        <v>0</v>
      </c>
      <c r="Z215" s="6">
        <f t="shared" si="30"/>
        <v>2116.6</v>
      </c>
      <c r="AA215" s="6" t="str">
        <f t="shared" si="31"/>
        <v xml:space="preserve"> Profit</v>
      </c>
      <c r="AB215" s="5" t="s">
        <v>643</v>
      </c>
      <c r="AC215" s="5" t="s">
        <v>193</v>
      </c>
      <c r="AD215" s="5" t="s">
        <v>67</v>
      </c>
      <c r="AE215" s="5" t="s">
        <v>114</v>
      </c>
      <c r="AF215" s="5" t="s">
        <v>115</v>
      </c>
      <c r="AG215" s="3">
        <v>45833</v>
      </c>
      <c r="AH215" s="3">
        <v>45839</v>
      </c>
    </row>
    <row r="216" spans="1:34" ht="12" customHeight="1">
      <c r="A216" s="3">
        <v>45829</v>
      </c>
      <c r="B216" s="5" t="s">
        <v>644</v>
      </c>
      <c r="C216" s="5" t="s">
        <v>633</v>
      </c>
      <c r="D216" s="5" t="s">
        <v>634</v>
      </c>
      <c r="E216" s="5" t="s">
        <v>341</v>
      </c>
      <c r="F216" s="5" t="str">
        <f t="shared" si="24"/>
        <v>Lentils</v>
      </c>
      <c r="G216" s="5" t="s">
        <v>49</v>
      </c>
      <c r="H216" s="5" t="s">
        <v>64</v>
      </c>
      <c r="I216" s="5" t="s">
        <v>80</v>
      </c>
      <c r="J216" s="6">
        <v>1</v>
      </c>
      <c r="K216" s="6">
        <v>25</v>
      </c>
      <c r="L216" s="6">
        <v>861</v>
      </c>
      <c r="M216" s="6">
        <f t="shared" si="25"/>
        <v>21525</v>
      </c>
      <c r="N216" s="6">
        <v>502.65600000000001</v>
      </c>
      <c r="O216" s="6">
        <v>820</v>
      </c>
      <c r="P216" s="6">
        <f t="shared" si="26"/>
        <v>20500</v>
      </c>
      <c r="Q216" s="6">
        <f t="shared" si="27"/>
        <v>1025</v>
      </c>
      <c r="R216" s="6">
        <v>1232</v>
      </c>
      <c r="S216" s="6">
        <v>0</v>
      </c>
      <c r="T216" s="6">
        <v>0</v>
      </c>
      <c r="U216" s="6">
        <v>8.6240000000000006</v>
      </c>
      <c r="V216" s="6">
        <v>45</v>
      </c>
      <c r="W216" s="6">
        <f t="shared" si="28"/>
        <v>502.65600000000001</v>
      </c>
      <c r="X216" s="6">
        <f t="shared" si="29"/>
        <v>1285.624</v>
      </c>
      <c r="Y216" s="6">
        <v>0</v>
      </c>
      <c r="Z216" s="6">
        <f t="shared" si="30"/>
        <v>242.03199999999998</v>
      </c>
      <c r="AA216" s="6" t="str">
        <f t="shared" si="31"/>
        <v xml:space="preserve"> Profit</v>
      </c>
      <c r="AB216" s="5" t="s">
        <v>970</v>
      </c>
      <c r="AC216" s="5" t="s">
        <v>66</v>
      </c>
      <c r="AD216" s="5" t="s">
        <v>67</v>
      </c>
      <c r="AE216" s="5" t="s">
        <v>161</v>
      </c>
      <c r="AF216" s="5" t="s">
        <v>45</v>
      </c>
      <c r="AG216" s="3">
        <v>45833</v>
      </c>
      <c r="AH216" s="3">
        <v>45839</v>
      </c>
    </row>
    <row r="217" spans="1:34" ht="12" customHeight="1">
      <c r="A217" s="3">
        <v>45830</v>
      </c>
      <c r="B217" s="5" t="s">
        <v>645</v>
      </c>
      <c r="C217" s="5" t="s">
        <v>646</v>
      </c>
      <c r="D217" s="5" t="s">
        <v>625</v>
      </c>
      <c r="E217" s="5" t="s">
        <v>341</v>
      </c>
      <c r="F217" s="5" t="str">
        <f t="shared" si="24"/>
        <v>Lentils</v>
      </c>
      <c r="G217" s="5" t="s">
        <v>272</v>
      </c>
      <c r="H217" s="5" t="s">
        <v>64</v>
      </c>
      <c r="I217" s="5" t="s">
        <v>58</v>
      </c>
      <c r="J217" s="6">
        <v>1</v>
      </c>
      <c r="K217" s="6">
        <v>25</v>
      </c>
      <c r="L217" s="6">
        <v>840</v>
      </c>
      <c r="M217" s="6">
        <f t="shared" si="25"/>
        <v>21000</v>
      </c>
      <c r="N217" s="6">
        <v>0</v>
      </c>
      <c r="O217" s="6">
        <v>800</v>
      </c>
      <c r="P217" s="6">
        <f t="shared" si="26"/>
        <v>20000</v>
      </c>
      <c r="Q217" s="6">
        <f t="shared" si="27"/>
        <v>1000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f t="shared" si="28"/>
        <v>0</v>
      </c>
      <c r="X217" s="6">
        <f t="shared" si="29"/>
        <v>0</v>
      </c>
      <c r="Y217" s="6">
        <v>0</v>
      </c>
      <c r="Z217" s="6">
        <f t="shared" si="30"/>
        <v>1000</v>
      </c>
      <c r="AA217" s="6" t="str">
        <f t="shared" si="31"/>
        <v xml:space="preserve"> Profit</v>
      </c>
      <c r="AB217" s="5" t="s">
        <v>647</v>
      </c>
      <c r="AC217" s="5" t="s">
        <v>82</v>
      </c>
      <c r="AD217" s="5" t="s">
        <v>88</v>
      </c>
      <c r="AE217" s="5" t="s">
        <v>114</v>
      </c>
      <c r="AF217" s="5" t="s">
        <v>115</v>
      </c>
      <c r="AG217" s="3">
        <v>45834</v>
      </c>
      <c r="AH217" s="3">
        <v>45840</v>
      </c>
    </row>
    <row r="218" spans="1:34" ht="12" customHeight="1">
      <c r="A218" s="3">
        <v>45831</v>
      </c>
      <c r="B218" s="5" t="s">
        <v>648</v>
      </c>
      <c r="C218" s="5" t="s">
        <v>649</v>
      </c>
      <c r="D218" s="5" t="s">
        <v>650</v>
      </c>
      <c r="E218" s="5" t="s">
        <v>341</v>
      </c>
      <c r="F218" s="5" t="str">
        <f t="shared" si="24"/>
        <v>Lentils</v>
      </c>
      <c r="G218" s="5" t="s">
        <v>86</v>
      </c>
      <c r="H218" s="5" t="s">
        <v>64</v>
      </c>
      <c r="I218" s="5" t="s">
        <v>80</v>
      </c>
      <c r="J218" s="6">
        <v>10</v>
      </c>
      <c r="K218" s="6">
        <v>250</v>
      </c>
      <c r="L218" s="6">
        <v>840</v>
      </c>
      <c r="M218" s="6">
        <f t="shared" si="25"/>
        <v>210000</v>
      </c>
      <c r="N218" s="6">
        <v>4080</v>
      </c>
      <c r="O218" s="6">
        <v>800</v>
      </c>
      <c r="P218" s="6">
        <f t="shared" si="26"/>
        <v>200000</v>
      </c>
      <c r="Q218" s="6">
        <f t="shared" si="27"/>
        <v>10000</v>
      </c>
      <c r="R218" s="6">
        <v>10000</v>
      </c>
      <c r="S218" s="6">
        <v>0</v>
      </c>
      <c r="T218" s="6">
        <v>0</v>
      </c>
      <c r="U218" s="6">
        <v>70</v>
      </c>
      <c r="V218" s="6">
        <v>0</v>
      </c>
      <c r="W218" s="6">
        <f t="shared" si="28"/>
        <v>4080</v>
      </c>
      <c r="X218" s="6">
        <f t="shared" si="29"/>
        <v>10070</v>
      </c>
      <c r="Y218" s="6">
        <v>0</v>
      </c>
      <c r="Z218" s="6">
        <f t="shared" si="30"/>
        <v>4010</v>
      </c>
      <c r="AA218" s="6" t="str">
        <f t="shared" si="31"/>
        <v xml:space="preserve"> Profit</v>
      </c>
      <c r="AB218" s="5" t="s">
        <v>651</v>
      </c>
      <c r="AC218" s="5" t="s">
        <v>82</v>
      </c>
      <c r="AD218" s="5" t="s">
        <v>88</v>
      </c>
      <c r="AE218" s="5" t="s">
        <v>114</v>
      </c>
      <c r="AF218" s="5" t="s">
        <v>115</v>
      </c>
      <c r="AG218" s="3">
        <v>45835</v>
      </c>
      <c r="AH218" s="3">
        <v>45841</v>
      </c>
    </row>
    <row r="219" spans="1:34" ht="12" customHeight="1">
      <c r="A219" s="3">
        <v>45832</v>
      </c>
      <c r="B219" s="5" t="s">
        <v>652</v>
      </c>
      <c r="C219" s="5" t="s">
        <v>653</v>
      </c>
      <c r="D219" s="5" t="s">
        <v>654</v>
      </c>
      <c r="E219" s="5" t="s">
        <v>341</v>
      </c>
      <c r="F219" s="5" t="str">
        <f t="shared" si="24"/>
        <v>Lentils</v>
      </c>
      <c r="G219" s="5" t="s">
        <v>49</v>
      </c>
      <c r="H219" s="5" t="s">
        <v>64</v>
      </c>
      <c r="I219" s="5" t="s">
        <v>80</v>
      </c>
      <c r="J219" s="6">
        <v>20</v>
      </c>
      <c r="K219" s="6">
        <v>500</v>
      </c>
      <c r="L219" s="6">
        <v>840</v>
      </c>
      <c r="M219" s="6">
        <f t="shared" si="25"/>
        <v>420000</v>
      </c>
      <c r="N219" s="6">
        <v>9220.7999999999993</v>
      </c>
      <c r="O219" s="6">
        <v>800</v>
      </c>
      <c r="P219" s="6">
        <f t="shared" si="26"/>
        <v>400000</v>
      </c>
      <c r="Q219" s="6">
        <f t="shared" si="27"/>
        <v>20000</v>
      </c>
      <c r="R219" s="6">
        <v>22600</v>
      </c>
      <c r="S219" s="6">
        <v>0</v>
      </c>
      <c r="T219" s="6">
        <v>0</v>
      </c>
      <c r="U219" s="6">
        <v>158.19999999999999</v>
      </c>
      <c r="V219" s="6">
        <v>8.57</v>
      </c>
      <c r="W219" s="6">
        <f t="shared" si="28"/>
        <v>9220.7999999999993</v>
      </c>
      <c r="X219" s="6">
        <f t="shared" si="29"/>
        <v>22766.77</v>
      </c>
      <c r="Y219" s="6">
        <v>0</v>
      </c>
      <c r="Z219" s="6">
        <f t="shared" si="30"/>
        <v>6454.0299999999988</v>
      </c>
      <c r="AA219" s="6" t="str">
        <f t="shared" si="31"/>
        <v xml:space="preserve"> Profit</v>
      </c>
      <c r="AB219" s="5" t="s">
        <v>655</v>
      </c>
      <c r="AC219" s="5" t="s">
        <v>168</v>
      </c>
      <c r="AD219" s="5" t="s">
        <v>43</v>
      </c>
      <c r="AE219" s="5" t="s">
        <v>114</v>
      </c>
      <c r="AF219" s="5" t="s">
        <v>115</v>
      </c>
      <c r="AG219" s="3">
        <v>45836</v>
      </c>
      <c r="AH219" s="3">
        <v>45842</v>
      </c>
    </row>
    <row r="220" spans="1:34" ht="12" customHeight="1">
      <c r="A220" s="3">
        <v>45833</v>
      </c>
      <c r="B220" s="5" t="s">
        <v>656</v>
      </c>
      <c r="C220" s="5" t="s">
        <v>657</v>
      </c>
      <c r="D220" s="5" t="s">
        <v>545</v>
      </c>
      <c r="E220" s="5" t="s">
        <v>341</v>
      </c>
      <c r="F220" s="5" t="str">
        <f t="shared" si="24"/>
        <v>Lentils</v>
      </c>
      <c r="G220" s="5" t="s">
        <v>533</v>
      </c>
      <c r="H220" s="5" t="s">
        <v>64</v>
      </c>
      <c r="I220" s="5" t="s">
        <v>80</v>
      </c>
      <c r="J220" s="6">
        <v>9</v>
      </c>
      <c r="K220" s="6">
        <v>225</v>
      </c>
      <c r="L220" s="6">
        <v>840</v>
      </c>
      <c r="M220" s="6">
        <f t="shared" si="25"/>
        <v>189000</v>
      </c>
      <c r="N220" s="6">
        <v>4406.3999999999996</v>
      </c>
      <c r="O220" s="6">
        <v>800</v>
      </c>
      <c r="P220" s="6">
        <f t="shared" si="26"/>
        <v>180000</v>
      </c>
      <c r="Q220" s="6">
        <f t="shared" si="27"/>
        <v>9000</v>
      </c>
      <c r="R220" s="6">
        <v>10800</v>
      </c>
      <c r="S220" s="6">
        <v>0</v>
      </c>
      <c r="T220" s="6">
        <v>0</v>
      </c>
      <c r="U220" s="6">
        <v>75.599999999999994</v>
      </c>
      <c r="V220" s="6">
        <v>0</v>
      </c>
      <c r="W220" s="6">
        <f t="shared" si="28"/>
        <v>4406.3999999999996</v>
      </c>
      <c r="X220" s="6">
        <f t="shared" si="29"/>
        <v>10875.6</v>
      </c>
      <c r="Y220" s="6">
        <v>0</v>
      </c>
      <c r="Z220" s="6">
        <f t="shared" si="30"/>
        <v>2530.7999999999993</v>
      </c>
      <c r="AA220" s="6" t="str">
        <f t="shared" si="31"/>
        <v xml:space="preserve"> Profit</v>
      </c>
      <c r="AB220" s="5" t="s">
        <v>972</v>
      </c>
      <c r="AC220" s="5" t="s">
        <v>211</v>
      </c>
      <c r="AD220" s="5" t="s">
        <v>212</v>
      </c>
      <c r="AE220" s="5" t="s">
        <v>44</v>
      </c>
      <c r="AF220" s="5" t="s">
        <v>115</v>
      </c>
      <c r="AG220" s="3">
        <v>45837</v>
      </c>
      <c r="AH220" s="3">
        <v>45843</v>
      </c>
    </row>
    <row r="221" spans="1:34" ht="12" customHeight="1">
      <c r="A221" s="3">
        <v>45834</v>
      </c>
      <c r="B221" s="5" t="s">
        <v>659</v>
      </c>
      <c r="C221" s="5" t="s">
        <v>653</v>
      </c>
      <c r="D221" s="5" t="s">
        <v>536</v>
      </c>
      <c r="E221" s="5" t="s">
        <v>341</v>
      </c>
      <c r="F221" s="5" t="str">
        <f t="shared" si="24"/>
        <v>Lentils</v>
      </c>
      <c r="G221" s="5" t="s">
        <v>49</v>
      </c>
      <c r="H221" s="5" t="s">
        <v>64</v>
      </c>
      <c r="I221" s="5" t="s">
        <v>80</v>
      </c>
      <c r="J221" s="6">
        <v>20</v>
      </c>
      <c r="K221" s="6">
        <v>500</v>
      </c>
      <c r="L221" s="6">
        <v>840</v>
      </c>
      <c r="M221" s="6">
        <f t="shared" si="25"/>
        <v>420000</v>
      </c>
      <c r="N221" s="6">
        <v>9598.2000000000007</v>
      </c>
      <c r="O221" s="6">
        <v>800</v>
      </c>
      <c r="P221" s="6">
        <f t="shared" si="26"/>
        <v>400000</v>
      </c>
      <c r="Q221" s="6">
        <f t="shared" si="27"/>
        <v>20000</v>
      </c>
      <c r="R221" s="6">
        <v>23525</v>
      </c>
      <c r="S221" s="6">
        <v>0</v>
      </c>
      <c r="T221" s="6">
        <v>0</v>
      </c>
      <c r="U221" s="6">
        <v>164.67500000000001</v>
      </c>
      <c r="V221" s="6">
        <v>8.57</v>
      </c>
      <c r="W221" s="6">
        <f t="shared" si="28"/>
        <v>9598.2000000000007</v>
      </c>
      <c r="X221" s="6">
        <f t="shared" si="29"/>
        <v>23698.244999999999</v>
      </c>
      <c r="Y221" s="6">
        <v>0</v>
      </c>
      <c r="Z221" s="6">
        <f t="shared" si="30"/>
        <v>5899.9550000000017</v>
      </c>
      <c r="AA221" s="6" t="str">
        <f t="shared" si="31"/>
        <v xml:space="preserve"> Profit</v>
      </c>
      <c r="AB221" s="5" t="s">
        <v>973</v>
      </c>
      <c r="AC221" s="5" t="s">
        <v>66</v>
      </c>
      <c r="AD221" s="5" t="s">
        <v>67</v>
      </c>
      <c r="AE221" s="5" t="s">
        <v>161</v>
      </c>
      <c r="AF221" s="5" t="s">
        <v>45</v>
      </c>
      <c r="AG221" s="3">
        <v>45838</v>
      </c>
      <c r="AH221" s="3">
        <v>45844</v>
      </c>
    </row>
    <row r="222" spans="1:34" ht="12" customHeight="1">
      <c r="A222" s="3">
        <v>45835</v>
      </c>
      <c r="B222" s="5" t="s">
        <v>660</v>
      </c>
      <c r="C222" s="5" t="s">
        <v>661</v>
      </c>
      <c r="D222" s="5" t="s">
        <v>536</v>
      </c>
      <c r="E222" s="5" t="s">
        <v>341</v>
      </c>
      <c r="F222" s="5" t="str">
        <f t="shared" si="24"/>
        <v>Lentils</v>
      </c>
      <c r="G222" s="5" t="s">
        <v>533</v>
      </c>
      <c r="H222" s="5" t="s">
        <v>64</v>
      </c>
      <c r="I222" s="5" t="s">
        <v>58</v>
      </c>
      <c r="J222" s="6">
        <v>0</v>
      </c>
      <c r="K222" s="6">
        <v>950</v>
      </c>
      <c r="L222" s="6">
        <v>635.25</v>
      </c>
      <c r="M222" s="6">
        <f t="shared" si="25"/>
        <v>603487.5</v>
      </c>
      <c r="N222" s="6">
        <v>0</v>
      </c>
      <c r="O222" s="6">
        <v>605</v>
      </c>
      <c r="P222" s="6">
        <f t="shared" si="26"/>
        <v>574750</v>
      </c>
      <c r="Q222" s="6">
        <f t="shared" si="27"/>
        <v>28737.5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f t="shared" si="28"/>
        <v>0</v>
      </c>
      <c r="X222" s="6">
        <f t="shared" si="29"/>
        <v>0</v>
      </c>
      <c r="Y222" s="6">
        <v>0</v>
      </c>
      <c r="Z222" s="6">
        <f t="shared" si="30"/>
        <v>28737.5</v>
      </c>
      <c r="AA222" s="6" t="str">
        <f t="shared" si="31"/>
        <v xml:space="preserve"> Profit</v>
      </c>
      <c r="AB222" s="5" t="s">
        <v>971</v>
      </c>
      <c r="AC222" s="5" t="s">
        <v>168</v>
      </c>
      <c r="AD222" s="5" t="s">
        <v>43</v>
      </c>
      <c r="AE222" s="5" t="s">
        <v>161</v>
      </c>
      <c r="AF222" s="5" t="s">
        <v>45</v>
      </c>
      <c r="AG222" s="3">
        <v>45839</v>
      </c>
      <c r="AH222" s="3">
        <v>45845</v>
      </c>
    </row>
    <row r="223" spans="1:34" ht="12" customHeight="1">
      <c r="A223" s="3">
        <v>45836</v>
      </c>
      <c r="B223" s="5" t="s">
        <v>662</v>
      </c>
      <c r="C223" s="5" t="s">
        <v>661</v>
      </c>
      <c r="D223" s="5" t="s">
        <v>545</v>
      </c>
      <c r="E223" s="5" t="s">
        <v>341</v>
      </c>
      <c r="F223" s="5" t="str">
        <f t="shared" si="24"/>
        <v>Lentils</v>
      </c>
      <c r="G223" s="5" t="s">
        <v>533</v>
      </c>
      <c r="H223" s="5" t="s">
        <v>64</v>
      </c>
      <c r="I223" s="5" t="s">
        <v>58</v>
      </c>
      <c r="J223" s="6">
        <v>0</v>
      </c>
      <c r="K223" s="6">
        <v>410</v>
      </c>
      <c r="L223" s="6">
        <v>630</v>
      </c>
      <c r="M223" s="6">
        <f t="shared" si="25"/>
        <v>258300</v>
      </c>
      <c r="N223" s="6">
        <v>0</v>
      </c>
      <c r="O223" s="6">
        <v>600</v>
      </c>
      <c r="P223" s="6">
        <f t="shared" si="26"/>
        <v>246000</v>
      </c>
      <c r="Q223" s="6">
        <f t="shared" si="27"/>
        <v>12300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f t="shared" si="28"/>
        <v>0</v>
      </c>
      <c r="X223" s="6">
        <f t="shared" si="29"/>
        <v>0</v>
      </c>
      <c r="Y223" s="6">
        <v>0</v>
      </c>
      <c r="Z223" s="6">
        <f t="shared" si="30"/>
        <v>12300</v>
      </c>
      <c r="AA223" s="6" t="str">
        <f t="shared" si="31"/>
        <v xml:space="preserve"> Profit</v>
      </c>
      <c r="AB223" s="5" t="s">
        <v>658</v>
      </c>
      <c r="AC223" s="5" t="s">
        <v>42</v>
      </c>
      <c r="AD223" s="5" t="s">
        <v>43</v>
      </c>
      <c r="AE223" s="5" t="s">
        <v>161</v>
      </c>
      <c r="AF223" s="5" t="s">
        <v>45</v>
      </c>
      <c r="AG223" s="3">
        <v>45840</v>
      </c>
      <c r="AH223" s="3">
        <v>45846</v>
      </c>
    </row>
    <row r="224" spans="1:34" ht="12" customHeight="1">
      <c r="A224" s="3">
        <v>45839</v>
      </c>
      <c r="B224" s="5" t="s">
        <v>663</v>
      </c>
      <c r="C224" s="5" t="s">
        <v>664</v>
      </c>
      <c r="D224" s="5" t="s">
        <v>523</v>
      </c>
      <c r="E224" s="5" t="s">
        <v>37</v>
      </c>
      <c r="F224" s="5" t="str">
        <f t="shared" si="24"/>
        <v>Sugar</v>
      </c>
      <c r="G224" s="5" t="s">
        <v>38</v>
      </c>
      <c r="H224" s="5" t="s">
        <v>39</v>
      </c>
      <c r="I224" s="5" t="s">
        <v>80</v>
      </c>
      <c r="J224" s="6">
        <v>0</v>
      </c>
      <c r="K224" s="6">
        <v>1200</v>
      </c>
      <c r="L224" s="6">
        <v>487.66199999999998</v>
      </c>
      <c r="M224" s="6">
        <f t="shared" si="25"/>
        <v>585194.4</v>
      </c>
      <c r="N224" s="6">
        <v>20563.2</v>
      </c>
      <c r="O224" s="6">
        <v>464.44</v>
      </c>
      <c r="P224" s="6">
        <f t="shared" si="26"/>
        <v>557328</v>
      </c>
      <c r="Q224" s="6">
        <f t="shared" si="27"/>
        <v>27866.400000000023</v>
      </c>
      <c r="R224" s="6">
        <v>50400</v>
      </c>
      <c r="S224" s="6">
        <v>0</v>
      </c>
      <c r="T224" s="6">
        <v>0</v>
      </c>
      <c r="U224" s="6">
        <v>352.8</v>
      </c>
      <c r="V224" s="6">
        <v>74.319999999999993</v>
      </c>
      <c r="W224" s="6">
        <f t="shared" si="28"/>
        <v>20563.2</v>
      </c>
      <c r="X224" s="6">
        <f t="shared" si="29"/>
        <v>50827.12</v>
      </c>
      <c r="Y224" s="6">
        <v>0</v>
      </c>
      <c r="Z224" s="6">
        <f t="shared" si="30"/>
        <v>-2397.5199999999786</v>
      </c>
      <c r="AA224" s="6" t="str">
        <f t="shared" si="31"/>
        <v xml:space="preserve"> Loss</v>
      </c>
      <c r="AB224" s="5" t="s">
        <v>577</v>
      </c>
      <c r="AC224" s="5" t="s">
        <v>42</v>
      </c>
      <c r="AD224" s="5" t="s">
        <v>43</v>
      </c>
      <c r="AE224" s="5" t="s">
        <v>161</v>
      </c>
      <c r="AF224" s="5" t="s">
        <v>45</v>
      </c>
      <c r="AG224" s="3">
        <v>45843</v>
      </c>
      <c r="AH224" s="3">
        <v>45849</v>
      </c>
    </row>
    <row r="225" spans="1:34" ht="12" customHeight="1">
      <c r="A225" s="3">
        <v>45843</v>
      </c>
      <c r="B225" s="5" t="s">
        <v>665</v>
      </c>
      <c r="C225" s="5" t="s">
        <v>666</v>
      </c>
      <c r="D225" s="5" t="s">
        <v>667</v>
      </c>
      <c r="E225" s="5" t="s">
        <v>668</v>
      </c>
      <c r="F225" s="5" t="str">
        <f t="shared" si="24"/>
        <v>Cloves</v>
      </c>
      <c r="G225" s="5" t="s">
        <v>272</v>
      </c>
      <c r="H225" s="5" t="s">
        <v>57</v>
      </c>
      <c r="I225" s="5" t="s">
        <v>58</v>
      </c>
      <c r="J225" s="6">
        <v>20</v>
      </c>
      <c r="K225" s="6">
        <v>540</v>
      </c>
      <c r="L225" s="6">
        <v>512.43150000000003</v>
      </c>
      <c r="M225" s="6">
        <f t="shared" si="25"/>
        <v>276713.01</v>
      </c>
      <c r="N225" s="6">
        <v>0</v>
      </c>
      <c r="O225" s="6">
        <v>488.03</v>
      </c>
      <c r="P225" s="6">
        <f t="shared" si="26"/>
        <v>263536.2</v>
      </c>
      <c r="Q225" s="6">
        <f t="shared" si="27"/>
        <v>13176.809999999998</v>
      </c>
      <c r="R225" s="6">
        <v>0</v>
      </c>
      <c r="S225" s="6">
        <v>0</v>
      </c>
      <c r="T225" s="6">
        <v>0</v>
      </c>
      <c r="U225" s="6">
        <v>0</v>
      </c>
      <c r="V225" s="6">
        <v>10.5</v>
      </c>
      <c r="W225" s="6">
        <f t="shared" si="28"/>
        <v>0</v>
      </c>
      <c r="X225" s="6">
        <f t="shared" si="29"/>
        <v>10.5</v>
      </c>
      <c r="Y225" s="6">
        <v>0</v>
      </c>
      <c r="Z225" s="6">
        <f t="shared" si="30"/>
        <v>13166.309999999998</v>
      </c>
      <c r="AA225" s="6" t="str">
        <f t="shared" si="31"/>
        <v xml:space="preserve"> Profit</v>
      </c>
      <c r="AB225" s="5" t="s">
        <v>669</v>
      </c>
      <c r="AC225" s="5" t="s">
        <v>189</v>
      </c>
      <c r="AD225" s="5" t="s">
        <v>67</v>
      </c>
      <c r="AE225" s="5" t="s">
        <v>114</v>
      </c>
      <c r="AF225" s="5" t="s">
        <v>115</v>
      </c>
      <c r="AG225" s="3">
        <v>45847</v>
      </c>
      <c r="AH225" s="3">
        <v>45853</v>
      </c>
    </row>
    <row r="226" spans="1:34" ht="12" customHeight="1">
      <c r="A226" s="3">
        <v>45847</v>
      </c>
      <c r="B226" s="5" t="s">
        <v>670</v>
      </c>
      <c r="C226" s="5" t="s">
        <v>666</v>
      </c>
      <c r="D226" s="5" t="s">
        <v>523</v>
      </c>
      <c r="E226" s="5" t="s">
        <v>668</v>
      </c>
      <c r="F226" s="5" t="str">
        <f t="shared" si="24"/>
        <v>Cloves</v>
      </c>
      <c r="G226" s="5" t="s">
        <v>272</v>
      </c>
      <c r="H226" s="5" t="s">
        <v>57</v>
      </c>
      <c r="I226" s="5" t="s">
        <v>58</v>
      </c>
      <c r="J226" s="6">
        <v>20</v>
      </c>
      <c r="K226" s="6">
        <v>540</v>
      </c>
      <c r="L226" s="6">
        <v>512.43150000000003</v>
      </c>
      <c r="M226" s="6">
        <f t="shared" si="25"/>
        <v>276713.01</v>
      </c>
      <c r="N226" s="6">
        <v>0</v>
      </c>
      <c r="O226" s="6">
        <v>488.03</v>
      </c>
      <c r="P226" s="6">
        <f t="shared" si="26"/>
        <v>263536.2</v>
      </c>
      <c r="Q226" s="6">
        <f t="shared" si="27"/>
        <v>13176.809999999998</v>
      </c>
      <c r="R226" s="6">
        <v>0</v>
      </c>
      <c r="S226" s="6">
        <v>0</v>
      </c>
      <c r="T226" s="6">
        <v>0</v>
      </c>
      <c r="U226" s="6">
        <v>0</v>
      </c>
      <c r="V226" s="6">
        <v>10.5</v>
      </c>
      <c r="W226" s="6">
        <f t="shared" si="28"/>
        <v>0</v>
      </c>
      <c r="X226" s="6">
        <f t="shared" si="29"/>
        <v>10.5</v>
      </c>
      <c r="Y226" s="6">
        <v>0</v>
      </c>
      <c r="Z226" s="6">
        <f t="shared" si="30"/>
        <v>13166.309999999998</v>
      </c>
      <c r="AA226" s="6" t="str">
        <f t="shared" si="31"/>
        <v xml:space="preserve"> Profit</v>
      </c>
      <c r="AB226" s="5" t="s">
        <v>671</v>
      </c>
      <c r="AC226" s="5" t="s">
        <v>193</v>
      </c>
      <c r="AD226" s="5" t="s">
        <v>67</v>
      </c>
      <c r="AE226" s="5" t="s">
        <v>114</v>
      </c>
      <c r="AF226" s="5" t="s">
        <v>115</v>
      </c>
      <c r="AG226" s="3">
        <v>45851</v>
      </c>
      <c r="AH226" s="3">
        <v>45857</v>
      </c>
    </row>
    <row r="227" spans="1:34" ht="12" customHeight="1">
      <c r="A227" s="3">
        <v>45851</v>
      </c>
      <c r="B227" s="5" t="s">
        <v>672</v>
      </c>
      <c r="C227" s="5" t="s">
        <v>673</v>
      </c>
      <c r="D227" s="5" t="s">
        <v>519</v>
      </c>
      <c r="E227" s="5" t="s">
        <v>63</v>
      </c>
      <c r="F227" s="5" t="str">
        <f t="shared" si="24"/>
        <v>Rice</v>
      </c>
      <c r="G227" s="5" t="s">
        <v>272</v>
      </c>
      <c r="H227" s="5" t="s">
        <v>444</v>
      </c>
      <c r="I227" s="5" t="s">
        <v>58</v>
      </c>
      <c r="J227" s="6">
        <v>70</v>
      </c>
      <c r="K227" s="6">
        <v>1890</v>
      </c>
      <c r="L227" s="6">
        <v>404.25</v>
      </c>
      <c r="M227" s="6">
        <f t="shared" si="25"/>
        <v>764032.5</v>
      </c>
      <c r="N227" s="6">
        <v>0</v>
      </c>
      <c r="O227" s="6">
        <v>385</v>
      </c>
      <c r="P227" s="6">
        <f t="shared" si="26"/>
        <v>727650</v>
      </c>
      <c r="Q227" s="6">
        <f t="shared" si="27"/>
        <v>36382.5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f t="shared" si="28"/>
        <v>0</v>
      </c>
      <c r="X227" s="6">
        <f t="shared" si="29"/>
        <v>0</v>
      </c>
      <c r="Y227" s="6">
        <v>0</v>
      </c>
      <c r="Z227" s="6">
        <f t="shared" si="30"/>
        <v>36382.5</v>
      </c>
      <c r="AA227" s="6" t="str">
        <f t="shared" si="31"/>
        <v xml:space="preserve"> Profit</v>
      </c>
      <c r="AB227" s="5" t="s">
        <v>674</v>
      </c>
      <c r="AC227" s="5" t="s">
        <v>66</v>
      </c>
      <c r="AD227" s="5" t="s">
        <v>67</v>
      </c>
      <c r="AE227" s="5" t="s">
        <v>161</v>
      </c>
      <c r="AF227" s="5" t="s">
        <v>45</v>
      </c>
      <c r="AG227" s="3">
        <v>45855</v>
      </c>
      <c r="AH227" s="3">
        <v>45861</v>
      </c>
    </row>
    <row r="228" spans="1:34" ht="12" customHeight="1">
      <c r="A228" s="3">
        <v>45855</v>
      </c>
      <c r="B228" s="5" t="s">
        <v>675</v>
      </c>
      <c r="C228" s="5" t="s">
        <v>673</v>
      </c>
      <c r="D228" s="5" t="s">
        <v>676</v>
      </c>
      <c r="E228" s="5" t="s">
        <v>63</v>
      </c>
      <c r="F228" s="5" t="str">
        <f t="shared" si="24"/>
        <v>Rice</v>
      </c>
      <c r="G228" s="5" t="s">
        <v>272</v>
      </c>
      <c r="H228" s="5" t="s">
        <v>444</v>
      </c>
      <c r="I228" s="5" t="s">
        <v>58</v>
      </c>
      <c r="J228" s="6">
        <v>30</v>
      </c>
      <c r="K228" s="6">
        <v>810</v>
      </c>
      <c r="L228" s="6">
        <v>404.25</v>
      </c>
      <c r="M228" s="6">
        <f t="shared" si="25"/>
        <v>327442.5</v>
      </c>
      <c r="N228" s="6">
        <v>0</v>
      </c>
      <c r="O228" s="6">
        <v>385</v>
      </c>
      <c r="P228" s="6">
        <f t="shared" si="26"/>
        <v>311850</v>
      </c>
      <c r="Q228" s="6">
        <f t="shared" si="27"/>
        <v>15592.5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f t="shared" si="28"/>
        <v>0</v>
      </c>
      <c r="X228" s="6">
        <f t="shared" si="29"/>
        <v>0</v>
      </c>
      <c r="Y228" s="6">
        <v>0</v>
      </c>
      <c r="Z228" s="6">
        <f t="shared" si="30"/>
        <v>15592.5</v>
      </c>
      <c r="AA228" s="6" t="str">
        <f t="shared" si="31"/>
        <v xml:space="preserve"> Profit</v>
      </c>
      <c r="AB228" s="5" t="s">
        <v>974</v>
      </c>
      <c r="AC228" s="5" t="s">
        <v>82</v>
      </c>
      <c r="AD228" s="5" t="s">
        <v>88</v>
      </c>
      <c r="AE228" s="5" t="s">
        <v>114</v>
      </c>
      <c r="AF228" s="5" t="s">
        <v>115</v>
      </c>
      <c r="AG228" s="3">
        <v>45859</v>
      </c>
      <c r="AH228" s="3">
        <v>45865</v>
      </c>
    </row>
    <row r="229" spans="1:34" ht="12" customHeight="1">
      <c r="A229" s="3">
        <v>45859</v>
      </c>
      <c r="B229" s="5" t="s">
        <v>677</v>
      </c>
      <c r="C229" s="5" t="s">
        <v>678</v>
      </c>
      <c r="D229" s="5" t="s">
        <v>415</v>
      </c>
      <c r="E229" s="5" t="s">
        <v>63</v>
      </c>
      <c r="F229" s="5" t="str">
        <f t="shared" si="24"/>
        <v>Rice</v>
      </c>
      <c r="G229" s="5" t="s">
        <v>49</v>
      </c>
      <c r="H229" s="5" t="s">
        <v>444</v>
      </c>
      <c r="I229" s="5" t="s">
        <v>80</v>
      </c>
      <c r="J229" s="6">
        <v>10</v>
      </c>
      <c r="K229" s="6">
        <v>260</v>
      </c>
      <c r="L229" s="6">
        <v>404.25</v>
      </c>
      <c r="M229" s="6">
        <f t="shared" si="25"/>
        <v>105105</v>
      </c>
      <c r="N229" s="6">
        <v>12648</v>
      </c>
      <c r="O229" s="6">
        <v>385</v>
      </c>
      <c r="P229" s="6">
        <f t="shared" si="26"/>
        <v>100100</v>
      </c>
      <c r="Q229" s="6">
        <f t="shared" si="27"/>
        <v>5005</v>
      </c>
      <c r="R229" s="6">
        <v>31000</v>
      </c>
      <c r="S229" s="6">
        <v>0</v>
      </c>
      <c r="T229" s="6">
        <v>0</v>
      </c>
      <c r="U229" s="6">
        <v>217</v>
      </c>
      <c r="V229" s="6">
        <v>122.66</v>
      </c>
      <c r="W229" s="6">
        <f t="shared" si="28"/>
        <v>12648</v>
      </c>
      <c r="X229" s="6">
        <f t="shared" si="29"/>
        <v>31339.66</v>
      </c>
      <c r="Y229" s="6">
        <v>0</v>
      </c>
      <c r="Z229" s="6">
        <f t="shared" si="30"/>
        <v>-13686.66</v>
      </c>
      <c r="AA229" s="6" t="str">
        <f t="shared" si="31"/>
        <v xml:space="preserve"> Loss</v>
      </c>
      <c r="AB229" s="5" t="s">
        <v>679</v>
      </c>
      <c r="AC229" s="5" t="s">
        <v>82</v>
      </c>
      <c r="AD229" s="5" t="s">
        <v>88</v>
      </c>
      <c r="AE229" s="5" t="s">
        <v>114</v>
      </c>
      <c r="AF229" s="5" t="s">
        <v>115</v>
      </c>
      <c r="AG229" s="3">
        <v>45863</v>
      </c>
      <c r="AH229" s="3">
        <v>45869</v>
      </c>
    </row>
    <row r="230" spans="1:34" ht="12" customHeight="1">
      <c r="A230" s="3">
        <v>45867</v>
      </c>
      <c r="B230" s="5" t="s">
        <v>680</v>
      </c>
      <c r="C230" s="5" t="s">
        <v>678</v>
      </c>
      <c r="D230" s="5" t="s">
        <v>523</v>
      </c>
      <c r="E230" s="5" t="s">
        <v>397</v>
      </c>
      <c r="F230" s="5" t="str">
        <f t="shared" si="24"/>
        <v>Rice</v>
      </c>
      <c r="G230" s="5" t="s">
        <v>49</v>
      </c>
      <c r="H230" s="5" t="s">
        <v>444</v>
      </c>
      <c r="I230" s="5" t="s">
        <v>58</v>
      </c>
      <c r="J230" s="6">
        <v>10</v>
      </c>
      <c r="K230" s="6">
        <v>260</v>
      </c>
      <c r="L230" s="6">
        <v>404.25</v>
      </c>
      <c r="M230" s="6">
        <f t="shared" si="25"/>
        <v>105105</v>
      </c>
      <c r="N230" s="6">
        <v>0</v>
      </c>
      <c r="O230" s="6">
        <v>385</v>
      </c>
      <c r="P230" s="6">
        <f t="shared" si="26"/>
        <v>100100</v>
      </c>
      <c r="Q230" s="6">
        <f t="shared" si="27"/>
        <v>5005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f t="shared" si="28"/>
        <v>0</v>
      </c>
      <c r="X230" s="6">
        <f t="shared" si="29"/>
        <v>0</v>
      </c>
      <c r="Y230" s="6">
        <v>0</v>
      </c>
      <c r="Z230" s="6">
        <f t="shared" si="30"/>
        <v>5005</v>
      </c>
      <c r="AA230" s="6" t="str">
        <f t="shared" si="31"/>
        <v xml:space="preserve"> Profit</v>
      </c>
      <c r="AB230" s="5" t="s">
        <v>681</v>
      </c>
      <c r="AC230" s="5" t="s">
        <v>211</v>
      </c>
      <c r="AD230" s="5" t="s">
        <v>212</v>
      </c>
      <c r="AE230" s="5" t="s">
        <v>44</v>
      </c>
      <c r="AF230" s="5" t="s">
        <v>115</v>
      </c>
      <c r="AG230" s="3">
        <v>45871</v>
      </c>
      <c r="AH230" s="3">
        <v>45877</v>
      </c>
    </row>
    <row r="231" spans="1:34" ht="12" customHeight="1">
      <c r="A231" s="3">
        <v>45871</v>
      </c>
      <c r="B231" s="5" t="s">
        <v>682</v>
      </c>
      <c r="C231" s="5" t="s">
        <v>678</v>
      </c>
      <c r="D231" s="5" t="s">
        <v>523</v>
      </c>
      <c r="E231" s="5" t="s">
        <v>397</v>
      </c>
      <c r="F231" s="5" t="str">
        <f t="shared" si="24"/>
        <v>Rice</v>
      </c>
      <c r="G231" s="5" t="s">
        <v>49</v>
      </c>
      <c r="H231" s="5" t="s">
        <v>444</v>
      </c>
      <c r="I231" s="5" t="s">
        <v>58</v>
      </c>
      <c r="J231" s="6">
        <v>10</v>
      </c>
      <c r="K231" s="6">
        <v>260</v>
      </c>
      <c r="L231" s="6">
        <v>404.25</v>
      </c>
      <c r="M231" s="6">
        <f t="shared" si="25"/>
        <v>105105</v>
      </c>
      <c r="N231" s="6">
        <v>0</v>
      </c>
      <c r="O231" s="6">
        <v>385</v>
      </c>
      <c r="P231" s="6">
        <f t="shared" si="26"/>
        <v>100100</v>
      </c>
      <c r="Q231" s="6">
        <f t="shared" si="27"/>
        <v>5005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f t="shared" si="28"/>
        <v>0</v>
      </c>
      <c r="X231" s="6">
        <f t="shared" si="29"/>
        <v>0</v>
      </c>
      <c r="Y231" s="6">
        <v>0</v>
      </c>
      <c r="Z231" s="6">
        <f t="shared" si="30"/>
        <v>5005</v>
      </c>
      <c r="AA231" s="6" t="str">
        <f t="shared" si="31"/>
        <v xml:space="preserve"> Profit</v>
      </c>
      <c r="AB231" s="5" t="s">
        <v>975</v>
      </c>
      <c r="AC231" s="5" t="s">
        <v>77</v>
      </c>
      <c r="AD231" s="5" t="s">
        <v>67</v>
      </c>
      <c r="AE231" s="5" t="s">
        <v>161</v>
      </c>
      <c r="AF231" s="5" t="s">
        <v>45</v>
      </c>
      <c r="AG231" s="3">
        <v>45875</v>
      </c>
      <c r="AH231" s="3">
        <v>45881</v>
      </c>
    </row>
    <row r="232" spans="1:34" ht="12" customHeight="1">
      <c r="A232" s="3">
        <v>45875</v>
      </c>
      <c r="B232" s="5" t="s">
        <v>683</v>
      </c>
      <c r="C232" s="5" t="s">
        <v>684</v>
      </c>
      <c r="D232" s="5" t="s">
        <v>523</v>
      </c>
      <c r="E232" s="5" t="s">
        <v>63</v>
      </c>
      <c r="F232" s="5" t="str">
        <f t="shared" si="24"/>
        <v>Rice</v>
      </c>
      <c r="G232" s="5" t="s">
        <v>38</v>
      </c>
      <c r="H232" s="5" t="s">
        <v>342</v>
      </c>
      <c r="I232" s="5" t="s">
        <v>58</v>
      </c>
      <c r="J232" s="6">
        <v>2</v>
      </c>
      <c r="K232" s="6">
        <v>25</v>
      </c>
      <c r="L232" s="6">
        <v>1249.5</v>
      </c>
      <c r="M232" s="6">
        <f t="shared" si="25"/>
        <v>31237.5</v>
      </c>
      <c r="N232" s="6">
        <v>0</v>
      </c>
      <c r="O232" s="6">
        <v>1190</v>
      </c>
      <c r="P232" s="6">
        <f t="shared" si="26"/>
        <v>29750</v>
      </c>
      <c r="Q232" s="6">
        <f t="shared" si="27"/>
        <v>1487.5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f t="shared" si="28"/>
        <v>0</v>
      </c>
      <c r="X232" s="6">
        <f t="shared" si="29"/>
        <v>0</v>
      </c>
      <c r="Y232" s="6">
        <v>0</v>
      </c>
      <c r="Z232" s="6">
        <f t="shared" si="30"/>
        <v>1487.5</v>
      </c>
      <c r="AA232" s="6" t="str">
        <f t="shared" si="31"/>
        <v xml:space="preserve"> Profit</v>
      </c>
      <c r="AB232" s="5" t="s">
        <v>976</v>
      </c>
      <c r="AC232" s="5" t="s">
        <v>217</v>
      </c>
      <c r="AD232" s="5" t="s">
        <v>67</v>
      </c>
      <c r="AE232" s="5" t="s">
        <v>161</v>
      </c>
      <c r="AF232" s="5" t="s">
        <v>45</v>
      </c>
      <c r="AG232" s="3">
        <v>45879</v>
      </c>
      <c r="AH232" s="3">
        <v>45885</v>
      </c>
    </row>
    <row r="233" spans="1:34" ht="12" customHeight="1">
      <c r="A233" s="3">
        <v>45879</v>
      </c>
      <c r="B233" s="5" t="s">
        <v>685</v>
      </c>
      <c r="C233" s="5" t="s">
        <v>657</v>
      </c>
      <c r="D233" s="5" t="s">
        <v>545</v>
      </c>
      <c r="E233" s="5" t="s">
        <v>63</v>
      </c>
      <c r="F233" s="5" t="str">
        <f t="shared" si="24"/>
        <v>Rice</v>
      </c>
      <c r="G233" s="5" t="s">
        <v>533</v>
      </c>
      <c r="H233" s="5" t="s">
        <v>64</v>
      </c>
      <c r="I233" s="5" t="s">
        <v>80</v>
      </c>
      <c r="J233" s="6">
        <v>11</v>
      </c>
      <c r="K233" s="6">
        <v>275</v>
      </c>
      <c r="L233" s="6">
        <v>840</v>
      </c>
      <c r="M233" s="6">
        <f t="shared" si="25"/>
        <v>231000</v>
      </c>
      <c r="N233" s="6">
        <v>5385.6</v>
      </c>
      <c r="O233" s="6">
        <v>800</v>
      </c>
      <c r="P233" s="6">
        <f t="shared" si="26"/>
        <v>220000</v>
      </c>
      <c r="Q233" s="6">
        <f t="shared" si="27"/>
        <v>11000</v>
      </c>
      <c r="R233" s="6">
        <v>13200</v>
      </c>
      <c r="S233" s="6">
        <v>0</v>
      </c>
      <c r="T233" s="6">
        <v>0</v>
      </c>
      <c r="U233" s="6">
        <v>92.4</v>
      </c>
      <c r="V233" s="6">
        <v>0</v>
      </c>
      <c r="W233" s="6">
        <f t="shared" si="28"/>
        <v>5385.6</v>
      </c>
      <c r="X233" s="6">
        <f t="shared" si="29"/>
        <v>13292.4</v>
      </c>
      <c r="Y233" s="6">
        <v>0</v>
      </c>
      <c r="Z233" s="6">
        <f t="shared" si="30"/>
        <v>3093.2000000000007</v>
      </c>
      <c r="AA233" s="6" t="str">
        <f t="shared" si="31"/>
        <v xml:space="preserve"> Profit</v>
      </c>
      <c r="AB233" s="5" t="s">
        <v>686</v>
      </c>
      <c r="AC233" s="5" t="s">
        <v>220</v>
      </c>
      <c r="AD233" s="5" t="s">
        <v>67</v>
      </c>
      <c r="AE233" s="5" t="s">
        <v>161</v>
      </c>
      <c r="AF233" s="5" t="s">
        <v>45</v>
      </c>
      <c r="AG233" s="3">
        <v>45883</v>
      </c>
      <c r="AH233" s="3">
        <v>45889</v>
      </c>
    </row>
    <row r="234" spans="1:34" ht="12" customHeight="1">
      <c r="A234" s="3">
        <v>45883</v>
      </c>
      <c r="B234" s="5" t="s">
        <v>687</v>
      </c>
      <c r="C234" s="5" t="s">
        <v>688</v>
      </c>
      <c r="D234" s="5" t="s">
        <v>689</v>
      </c>
      <c r="E234" s="5" t="s">
        <v>63</v>
      </c>
      <c r="F234" s="5" t="str">
        <f t="shared" si="24"/>
        <v>Rice</v>
      </c>
      <c r="G234" s="5" t="s">
        <v>49</v>
      </c>
      <c r="H234" s="5" t="s">
        <v>64</v>
      </c>
      <c r="I234" s="5" t="s">
        <v>80</v>
      </c>
      <c r="J234" s="6">
        <v>8</v>
      </c>
      <c r="K234" s="6">
        <v>200</v>
      </c>
      <c r="L234" s="6">
        <v>766.5</v>
      </c>
      <c r="M234" s="6">
        <f t="shared" si="25"/>
        <v>153300</v>
      </c>
      <c r="N234" s="6">
        <v>6870.72</v>
      </c>
      <c r="O234" s="6">
        <v>730</v>
      </c>
      <c r="P234" s="6">
        <f t="shared" si="26"/>
        <v>146000</v>
      </c>
      <c r="Q234" s="6">
        <f t="shared" si="27"/>
        <v>7300</v>
      </c>
      <c r="R234" s="6">
        <v>16840</v>
      </c>
      <c r="S234" s="6">
        <v>0</v>
      </c>
      <c r="T234" s="6">
        <v>0</v>
      </c>
      <c r="U234" s="6">
        <v>117.88</v>
      </c>
      <c r="V234" s="6">
        <v>8.58</v>
      </c>
      <c r="W234" s="6">
        <f t="shared" si="28"/>
        <v>6870.72</v>
      </c>
      <c r="X234" s="6">
        <f t="shared" si="29"/>
        <v>16966.460000000003</v>
      </c>
      <c r="Y234" s="6">
        <v>0</v>
      </c>
      <c r="Z234" s="6">
        <f t="shared" si="30"/>
        <v>-2795.7400000000025</v>
      </c>
      <c r="AA234" s="6" t="str">
        <f t="shared" si="31"/>
        <v xml:space="preserve"> Loss</v>
      </c>
      <c r="AB234" s="5" t="s">
        <v>690</v>
      </c>
      <c r="AC234" s="5" t="s">
        <v>193</v>
      </c>
      <c r="AD234" s="5" t="s">
        <v>67</v>
      </c>
      <c r="AE234" s="5" t="s">
        <v>161</v>
      </c>
      <c r="AF234" s="5" t="s">
        <v>45</v>
      </c>
      <c r="AG234" s="3">
        <v>45887</v>
      </c>
      <c r="AH234" s="3">
        <v>45893</v>
      </c>
    </row>
    <row r="235" spans="1:34" ht="12" customHeight="1">
      <c r="A235" s="3">
        <v>45887</v>
      </c>
      <c r="B235" s="5" t="s">
        <v>691</v>
      </c>
      <c r="C235" s="5" t="s">
        <v>692</v>
      </c>
      <c r="D235" s="5" t="s">
        <v>693</v>
      </c>
      <c r="E235" s="5" t="s">
        <v>397</v>
      </c>
      <c r="F235" s="5" t="str">
        <f t="shared" si="24"/>
        <v>Rice</v>
      </c>
      <c r="G235" s="5" t="s">
        <v>49</v>
      </c>
      <c r="H235" s="5" t="s">
        <v>64</v>
      </c>
      <c r="I235" s="5" t="s">
        <v>80</v>
      </c>
      <c r="J235" s="6">
        <v>10</v>
      </c>
      <c r="K235" s="6">
        <v>250</v>
      </c>
      <c r="L235" s="6">
        <v>787.5</v>
      </c>
      <c r="M235" s="6">
        <f t="shared" si="25"/>
        <v>196875</v>
      </c>
      <c r="N235" s="6">
        <v>4110.54288</v>
      </c>
      <c r="O235" s="6">
        <v>750</v>
      </c>
      <c r="P235" s="6">
        <f t="shared" si="26"/>
        <v>187500</v>
      </c>
      <c r="Q235" s="6">
        <f t="shared" si="27"/>
        <v>9375</v>
      </c>
      <c r="R235" s="6">
        <v>10074.86</v>
      </c>
      <c r="S235" s="6">
        <v>0</v>
      </c>
      <c r="T235" s="6">
        <v>0</v>
      </c>
      <c r="U235" s="6">
        <v>70.524000000000001</v>
      </c>
      <c r="V235" s="6">
        <v>8.57</v>
      </c>
      <c r="W235" s="6">
        <f t="shared" si="28"/>
        <v>4110.54288</v>
      </c>
      <c r="X235" s="6">
        <f t="shared" si="29"/>
        <v>10153.954</v>
      </c>
      <c r="Y235" s="6">
        <v>0</v>
      </c>
      <c r="Z235" s="6">
        <f t="shared" si="30"/>
        <v>3331.5888800000002</v>
      </c>
      <c r="AA235" s="6" t="str">
        <f t="shared" si="31"/>
        <v xml:space="preserve"> Profit</v>
      </c>
      <c r="AB235" s="5" t="s">
        <v>959</v>
      </c>
      <c r="AC235" s="5" t="s">
        <v>66</v>
      </c>
      <c r="AD235" s="5" t="s">
        <v>67</v>
      </c>
      <c r="AE235" s="5" t="s">
        <v>114</v>
      </c>
      <c r="AF235" s="5" t="s">
        <v>115</v>
      </c>
      <c r="AG235" s="3">
        <v>45891</v>
      </c>
      <c r="AH235" s="3">
        <v>45897</v>
      </c>
    </row>
    <row r="236" spans="1:34" ht="12" customHeight="1">
      <c r="A236" s="3">
        <v>45891</v>
      </c>
      <c r="B236" s="5" t="s">
        <v>694</v>
      </c>
      <c r="C236" s="5" t="s">
        <v>692</v>
      </c>
      <c r="D236" s="5" t="s">
        <v>693</v>
      </c>
      <c r="E236" s="5" t="s">
        <v>397</v>
      </c>
      <c r="F236" s="5" t="str">
        <f t="shared" si="24"/>
        <v>Rice</v>
      </c>
      <c r="G236" s="5" t="s">
        <v>49</v>
      </c>
      <c r="H236" s="5" t="s">
        <v>64</v>
      </c>
      <c r="I236" s="5" t="s">
        <v>80</v>
      </c>
      <c r="J236" s="6">
        <v>10</v>
      </c>
      <c r="K236" s="6">
        <v>250</v>
      </c>
      <c r="L236" s="6">
        <v>787.5</v>
      </c>
      <c r="M236" s="6">
        <f t="shared" si="25"/>
        <v>196875</v>
      </c>
      <c r="N236" s="6">
        <v>4110.54288</v>
      </c>
      <c r="O236" s="6">
        <v>750</v>
      </c>
      <c r="P236" s="6">
        <f t="shared" si="26"/>
        <v>187500</v>
      </c>
      <c r="Q236" s="6">
        <f t="shared" si="27"/>
        <v>9375</v>
      </c>
      <c r="R236" s="6">
        <v>10074.86</v>
      </c>
      <c r="S236" s="6">
        <v>0</v>
      </c>
      <c r="T236" s="6">
        <v>0</v>
      </c>
      <c r="U236" s="6">
        <v>70.524000000000001</v>
      </c>
      <c r="V236" s="6">
        <v>8.57</v>
      </c>
      <c r="W236" s="6">
        <f t="shared" si="28"/>
        <v>4110.54288</v>
      </c>
      <c r="X236" s="6">
        <f t="shared" si="29"/>
        <v>10153.954</v>
      </c>
      <c r="Y236" s="6">
        <v>0</v>
      </c>
      <c r="Z236" s="6">
        <f t="shared" si="30"/>
        <v>3331.5888800000002</v>
      </c>
      <c r="AA236" s="6" t="str">
        <f t="shared" si="31"/>
        <v xml:space="preserve"> Profit</v>
      </c>
      <c r="AB236" s="5" t="s">
        <v>695</v>
      </c>
      <c r="AC236" s="5" t="s">
        <v>66</v>
      </c>
      <c r="AD236" s="5" t="s">
        <v>67</v>
      </c>
      <c r="AE236" s="5" t="s">
        <v>114</v>
      </c>
      <c r="AF236" s="5" t="s">
        <v>115</v>
      </c>
      <c r="AG236" s="3">
        <v>45895</v>
      </c>
      <c r="AH236" s="3">
        <v>45901</v>
      </c>
    </row>
    <row r="237" spans="1:34" ht="12" customHeight="1">
      <c r="A237" s="3">
        <v>45895</v>
      </c>
      <c r="B237" s="5" t="s">
        <v>696</v>
      </c>
      <c r="C237" s="5" t="s">
        <v>697</v>
      </c>
      <c r="D237" s="5" t="s">
        <v>519</v>
      </c>
      <c r="E237" s="5" t="s">
        <v>397</v>
      </c>
      <c r="F237" s="5" t="str">
        <f t="shared" si="24"/>
        <v>Rice</v>
      </c>
      <c r="G237" s="5" t="s">
        <v>38</v>
      </c>
      <c r="H237" s="5" t="s">
        <v>64</v>
      </c>
      <c r="I237" s="5" t="s">
        <v>80</v>
      </c>
      <c r="J237" s="6">
        <v>0</v>
      </c>
      <c r="K237" s="6">
        <v>104</v>
      </c>
      <c r="L237" s="6">
        <v>840</v>
      </c>
      <c r="M237" s="6">
        <f t="shared" si="25"/>
        <v>87360</v>
      </c>
      <c r="N237" s="6">
        <v>1734.0694619999999</v>
      </c>
      <c r="O237" s="6">
        <v>800</v>
      </c>
      <c r="P237" s="6">
        <f t="shared" si="26"/>
        <v>83200</v>
      </c>
      <c r="Q237" s="6">
        <f t="shared" si="27"/>
        <v>4160</v>
      </c>
      <c r="R237" s="6">
        <v>4250.1701000000003</v>
      </c>
      <c r="S237" s="6">
        <v>0</v>
      </c>
      <c r="T237" s="6">
        <v>0</v>
      </c>
      <c r="U237" s="6">
        <v>29.751200000000001</v>
      </c>
      <c r="V237" s="6">
        <v>0</v>
      </c>
      <c r="W237" s="6">
        <f t="shared" si="28"/>
        <v>1734.0694619999999</v>
      </c>
      <c r="X237" s="6">
        <f t="shared" si="29"/>
        <v>4279.9213</v>
      </c>
      <c r="Y237" s="6">
        <v>0</v>
      </c>
      <c r="Z237" s="6">
        <f t="shared" si="30"/>
        <v>1614.148162</v>
      </c>
      <c r="AA237" s="6" t="str">
        <f t="shared" si="31"/>
        <v xml:space="preserve"> Profit</v>
      </c>
      <c r="AB237" s="5" t="s">
        <v>698</v>
      </c>
      <c r="AC237" s="5" t="s">
        <v>66</v>
      </c>
      <c r="AD237" s="5" t="s">
        <v>67</v>
      </c>
      <c r="AE237" s="5" t="s">
        <v>114</v>
      </c>
      <c r="AF237" s="5" t="s">
        <v>115</v>
      </c>
      <c r="AG237" s="3">
        <v>45899</v>
      </c>
      <c r="AH237" s="3">
        <v>45905</v>
      </c>
    </row>
    <row r="238" spans="1:34" ht="12" customHeight="1">
      <c r="A238" s="3">
        <v>45899</v>
      </c>
      <c r="B238" s="5" t="s">
        <v>699</v>
      </c>
      <c r="C238" s="5" t="s">
        <v>700</v>
      </c>
      <c r="D238" s="5" t="s">
        <v>701</v>
      </c>
      <c r="E238" s="5" t="s">
        <v>341</v>
      </c>
      <c r="F238" s="5" t="str">
        <f t="shared" si="24"/>
        <v>Lentils</v>
      </c>
      <c r="G238" s="5" t="s">
        <v>49</v>
      </c>
      <c r="H238" s="5" t="s">
        <v>64</v>
      </c>
      <c r="I238" s="5" t="s">
        <v>80</v>
      </c>
      <c r="J238" s="6">
        <v>10</v>
      </c>
      <c r="K238" s="6">
        <v>250</v>
      </c>
      <c r="L238" s="6">
        <v>787.5</v>
      </c>
      <c r="M238" s="6">
        <f t="shared" si="25"/>
        <v>196875</v>
      </c>
      <c r="N238" s="6">
        <v>4296.24</v>
      </c>
      <c r="O238" s="6">
        <v>750</v>
      </c>
      <c r="P238" s="6">
        <f t="shared" si="26"/>
        <v>187500</v>
      </c>
      <c r="Q238" s="6">
        <f t="shared" si="27"/>
        <v>9375</v>
      </c>
      <c r="R238" s="6">
        <v>10530</v>
      </c>
      <c r="S238" s="6">
        <v>0</v>
      </c>
      <c r="T238" s="6">
        <v>0</v>
      </c>
      <c r="U238" s="6">
        <v>73.709999999999994</v>
      </c>
      <c r="V238" s="6">
        <v>8.57</v>
      </c>
      <c r="W238" s="6">
        <f t="shared" si="28"/>
        <v>4296.24</v>
      </c>
      <c r="X238" s="6">
        <f t="shared" si="29"/>
        <v>10612.279999999999</v>
      </c>
      <c r="Y238" s="6">
        <v>0</v>
      </c>
      <c r="Z238" s="6">
        <f t="shared" si="30"/>
        <v>3058.9600000000009</v>
      </c>
      <c r="AA238" s="6" t="str">
        <f t="shared" si="31"/>
        <v xml:space="preserve"> Profit</v>
      </c>
      <c r="AB238" s="5" t="s">
        <v>961</v>
      </c>
      <c r="AC238" s="5" t="s">
        <v>82</v>
      </c>
      <c r="AD238" s="5" t="s">
        <v>88</v>
      </c>
      <c r="AE238" s="5" t="s">
        <v>44</v>
      </c>
      <c r="AF238" s="5" t="s">
        <v>115</v>
      </c>
      <c r="AG238" s="3">
        <v>45903</v>
      </c>
      <c r="AH238" s="3">
        <v>45909</v>
      </c>
    </row>
    <row r="239" spans="1:34" ht="12" customHeight="1">
      <c r="A239" s="3">
        <v>45903</v>
      </c>
      <c r="B239" s="5" t="s">
        <v>702</v>
      </c>
      <c r="C239" s="5" t="s">
        <v>657</v>
      </c>
      <c r="D239" s="5" t="s">
        <v>545</v>
      </c>
      <c r="E239" s="5" t="s">
        <v>341</v>
      </c>
      <c r="F239" s="5" t="str">
        <f t="shared" si="24"/>
        <v>Lentils</v>
      </c>
      <c r="G239" s="5" t="s">
        <v>533</v>
      </c>
      <c r="H239" s="5" t="s">
        <v>64</v>
      </c>
      <c r="I239" s="5" t="s">
        <v>80</v>
      </c>
      <c r="J239" s="6">
        <v>10</v>
      </c>
      <c r="K239" s="6">
        <v>255</v>
      </c>
      <c r="L239" s="6">
        <v>840</v>
      </c>
      <c r="M239" s="6">
        <f t="shared" si="25"/>
        <v>214200</v>
      </c>
      <c r="N239" s="6">
        <v>4896</v>
      </c>
      <c r="O239" s="6">
        <v>800</v>
      </c>
      <c r="P239" s="6">
        <f t="shared" si="26"/>
        <v>204000</v>
      </c>
      <c r="Q239" s="6">
        <f t="shared" si="27"/>
        <v>10200</v>
      </c>
      <c r="R239" s="6">
        <v>12000</v>
      </c>
      <c r="S239" s="6">
        <v>0</v>
      </c>
      <c r="T239" s="6">
        <v>0</v>
      </c>
      <c r="U239" s="6">
        <v>84</v>
      </c>
      <c r="V239" s="6">
        <v>8.58</v>
      </c>
      <c r="W239" s="6">
        <f t="shared" si="28"/>
        <v>4896</v>
      </c>
      <c r="X239" s="6">
        <f t="shared" si="29"/>
        <v>12092.58</v>
      </c>
      <c r="Y239" s="6">
        <v>0</v>
      </c>
      <c r="Z239" s="6">
        <f t="shared" si="30"/>
        <v>3003.42</v>
      </c>
      <c r="AA239" s="6" t="str">
        <f t="shared" si="31"/>
        <v xml:space="preserve"> Profit</v>
      </c>
      <c r="AB239" s="5" t="s">
        <v>962</v>
      </c>
      <c r="AC239" s="5" t="s">
        <v>82</v>
      </c>
      <c r="AD239" s="5" t="s">
        <v>88</v>
      </c>
      <c r="AE239" s="5" t="s">
        <v>161</v>
      </c>
      <c r="AF239" s="5" t="s">
        <v>45</v>
      </c>
      <c r="AG239" s="3">
        <v>45907</v>
      </c>
      <c r="AH239" s="3">
        <v>45913</v>
      </c>
    </row>
    <row r="240" spans="1:34" ht="12" customHeight="1">
      <c r="A240" s="3">
        <v>45911</v>
      </c>
      <c r="B240" s="5" t="s">
        <v>703</v>
      </c>
      <c r="C240" s="5" t="s">
        <v>704</v>
      </c>
      <c r="D240" s="5" t="s">
        <v>705</v>
      </c>
      <c r="E240" s="5" t="s">
        <v>341</v>
      </c>
      <c r="F240" s="5" t="str">
        <f t="shared" si="24"/>
        <v>Lentils</v>
      </c>
      <c r="G240" s="5" t="s">
        <v>49</v>
      </c>
      <c r="H240" s="5" t="s">
        <v>64</v>
      </c>
      <c r="I240" s="5" t="s">
        <v>80</v>
      </c>
      <c r="J240" s="6">
        <v>3</v>
      </c>
      <c r="K240" s="6">
        <v>76</v>
      </c>
      <c r="L240" s="6">
        <v>787.5</v>
      </c>
      <c r="M240" s="6">
        <f t="shared" si="25"/>
        <v>59850</v>
      </c>
      <c r="N240" s="6">
        <v>1591.2</v>
      </c>
      <c r="O240" s="6">
        <v>750</v>
      </c>
      <c r="P240" s="6">
        <f t="shared" si="26"/>
        <v>57000</v>
      </c>
      <c r="Q240" s="6">
        <f t="shared" si="27"/>
        <v>2850</v>
      </c>
      <c r="R240" s="6">
        <v>3900</v>
      </c>
      <c r="S240" s="6">
        <v>0</v>
      </c>
      <c r="T240" s="6">
        <v>0</v>
      </c>
      <c r="U240" s="6">
        <v>27.3</v>
      </c>
      <c r="V240" s="6">
        <v>76.650000000000006</v>
      </c>
      <c r="W240" s="6">
        <f t="shared" si="28"/>
        <v>1591.2</v>
      </c>
      <c r="X240" s="6">
        <f t="shared" si="29"/>
        <v>4003.9500000000003</v>
      </c>
      <c r="Y240" s="6">
        <v>0</v>
      </c>
      <c r="Z240" s="6">
        <f t="shared" si="30"/>
        <v>437.24999999999977</v>
      </c>
      <c r="AA240" s="6" t="str">
        <f t="shared" si="31"/>
        <v xml:space="preserve"> Profit</v>
      </c>
      <c r="AB240" s="5" t="s">
        <v>706</v>
      </c>
      <c r="AC240" s="5" t="s">
        <v>168</v>
      </c>
      <c r="AD240" s="5" t="s">
        <v>43</v>
      </c>
      <c r="AE240" s="5" t="s">
        <v>161</v>
      </c>
      <c r="AF240" s="5" t="s">
        <v>45</v>
      </c>
      <c r="AG240" s="3">
        <v>45915</v>
      </c>
      <c r="AH240" s="3">
        <v>45921</v>
      </c>
    </row>
    <row r="241" spans="1:34" ht="12" customHeight="1">
      <c r="A241" s="3">
        <v>45915</v>
      </c>
      <c r="B241" s="5" t="s">
        <v>707</v>
      </c>
      <c r="C241" s="5" t="s">
        <v>708</v>
      </c>
      <c r="D241" s="5" t="s">
        <v>545</v>
      </c>
      <c r="E241" s="5" t="s">
        <v>63</v>
      </c>
      <c r="F241" s="5" t="str">
        <f t="shared" si="24"/>
        <v>Rice</v>
      </c>
      <c r="G241" s="5" t="s">
        <v>533</v>
      </c>
      <c r="H241" s="5" t="s">
        <v>444</v>
      </c>
      <c r="I241" s="5" t="s">
        <v>80</v>
      </c>
      <c r="J241" s="6">
        <v>5</v>
      </c>
      <c r="K241" s="6">
        <v>128</v>
      </c>
      <c r="L241" s="6">
        <v>724.5</v>
      </c>
      <c r="M241" s="6">
        <f t="shared" si="25"/>
        <v>92736</v>
      </c>
      <c r="N241" s="6">
        <v>2142</v>
      </c>
      <c r="O241" s="6">
        <v>690</v>
      </c>
      <c r="P241" s="6">
        <f t="shared" si="26"/>
        <v>88320</v>
      </c>
      <c r="Q241" s="6">
        <f t="shared" si="27"/>
        <v>4416</v>
      </c>
      <c r="R241" s="6">
        <v>5250</v>
      </c>
      <c r="S241" s="6">
        <v>0</v>
      </c>
      <c r="T241" s="6">
        <v>0</v>
      </c>
      <c r="U241" s="6">
        <v>36.75</v>
      </c>
      <c r="V241" s="6">
        <v>0</v>
      </c>
      <c r="W241" s="6">
        <f t="shared" si="28"/>
        <v>2142</v>
      </c>
      <c r="X241" s="6">
        <f t="shared" si="29"/>
        <v>5286.75</v>
      </c>
      <c r="Y241" s="6">
        <v>0</v>
      </c>
      <c r="Z241" s="6">
        <f t="shared" si="30"/>
        <v>1271.25</v>
      </c>
      <c r="AA241" s="6" t="str">
        <f t="shared" si="31"/>
        <v xml:space="preserve"> Profit</v>
      </c>
      <c r="AB241" s="5" t="s">
        <v>960</v>
      </c>
      <c r="AC241" s="5" t="s">
        <v>608</v>
      </c>
      <c r="AD241" s="5" t="s">
        <v>67</v>
      </c>
      <c r="AE241" s="5" t="s">
        <v>161</v>
      </c>
      <c r="AF241" s="5" t="s">
        <v>45</v>
      </c>
      <c r="AG241" s="3">
        <v>45919</v>
      </c>
      <c r="AH241" s="3">
        <v>45925</v>
      </c>
    </row>
    <row r="242" spans="1:34" ht="12" customHeight="1">
      <c r="A242" s="3">
        <v>45919</v>
      </c>
      <c r="B242" s="5" t="s">
        <v>709</v>
      </c>
      <c r="C242" s="5" t="s">
        <v>710</v>
      </c>
      <c r="D242" s="5" t="s">
        <v>711</v>
      </c>
      <c r="E242" s="5" t="s">
        <v>712</v>
      </c>
      <c r="F242" s="5" t="str">
        <f t="shared" si="24"/>
        <v>Lentils</v>
      </c>
      <c r="G242" s="5" t="s">
        <v>256</v>
      </c>
      <c r="H242" s="5" t="s">
        <v>64</v>
      </c>
      <c r="I242" s="5" t="s">
        <v>58</v>
      </c>
      <c r="J242" s="6">
        <v>0</v>
      </c>
      <c r="K242" s="6">
        <v>1000</v>
      </c>
      <c r="L242" s="6">
        <v>561.75</v>
      </c>
      <c r="M242" s="6">
        <f t="shared" si="25"/>
        <v>561750</v>
      </c>
      <c r="N242" s="6">
        <v>0</v>
      </c>
      <c r="O242" s="6">
        <v>535</v>
      </c>
      <c r="P242" s="6">
        <f t="shared" si="26"/>
        <v>535000</v>
      </c>
      <c r="Q242" s="6">
        <f t="shared" si="27"/>
        <v>26750</v>
      </c>
      <c r="R242" s="6">
        <v>0</v>
      </c>
      <c r="S242" s="6">
        <v>0</v>
      </c>
      <c r="T242" s="6">
        <v>0</v>
      </c>
      <c r="U242" s="6">
        <v>0</v>
      </c>
      <c r="V242" s="6">
        <v>8.57</v>
      </c>
      <c r="W242" s="6">
        <f t="shared" si="28"/>
        <v>0</v>
      </c>
      <c r="X242" s="6">
        <f t="shared" si="29"/>
        <v>8.57</v>
      </c>
      <c r="Y242" s="6">
        <v>0</v>
      </c>
      <c r="Z242" s="6">
        <f t="shared" si="30"/>
        <v>26741.43</v>
      </c>
      <c r="AA242" s="6" t="str">
        <f t="shared" si="31"/>
        <v xml:space="preserve"> Profit</v>
      </c>
      <c r="AB242" s="5" t="s">
        <v>713</v>
      </c>
      <c r="AC242" s="5" t="s">
        <v>714</v>
      </c>
      <c r="AD242" s="5" t="s">
        <v>345</v>
      </c>
      <c r="AE242" s="5" t="s">
        <v>67</v>
      </c>
      <c r="AF242" s="5" t="s">
        <v>146</v>
      </c>
      <c r="AG242" s="3">
        <v>45923</v>
      </c>
      <c r="AH242" s="3">
        <v>45929</v>
      </c>
    </row>
    <row r="243" spans="1:34" ht="12" customHeight="1">
      <c r="A243" s="3">
        <v>45923</v>
      </c>
      <c r="B243" s="5" t="s">
        <v>715</v>
      </c>
      <c r="C243" s="5" t="s">
        <v>716</v>
      </c>
      <c r="D243" s="5" t="s">
        <v>717</v>
      </c>
      <c r="E243" s="5" t="s">
        <v>712</v>
      </c>
      <c r="F243" s="5" t="str">
        <f t="shared" si="24"/>
        <v>Lentils</v>
      </c>
      <c r="G243" s="5" t="s">
        <v>256</v>
      </c>
      <c r="H243" s="5" t="s">
        <v>64</v>
      </c>
      <c r="I243" s="5" t="s">
        <v>58</v>
      </c>
      <c r="J243" s="6">
        <v>0</v>
      </c>
      <c r="K243" s="6">
        <v>972</v>
      </c>
      <c r="L243" s="6">
        <v>510.3</v>
      </c>
      <c r="M243" s="6">
        <f t="shared" si="25"/>
        <v>496011.60000000003</v>
      </c>
      <c r="N243" s="6">
        <v>0</v>
      </c>
      <c r="O243" s="6">
        <v>486</v>
      </c>
      <c r="P243" s="6">
        <f t="shared" si="26"/>
        <v>472392</v>
      </c>
      <c r="Q243" s="6">
        <f t="shared" si="27"/>
        <v>23619.600000000035</v>
      </c>
      <c r="R243" s="6">
        <v>0</v>
      </c>
      <c r="S243" s="6">
        <v>0</v>
      </c>
      <c r="T243" s="6">
        <v>0</v>
      </c>
      <c r="U243" s="6">
        <v>0</v>
      </c>
      <c r="V243" s="6">
        <v>8.57</v>
      </c>
      <c r="W243" s="6">
        <f t="shared" si="28"/>
        <v>0</v>
      </c>
      <c r="X243" s="6">
        <f t="shared" si="29"/>
        <v>8.57</v>
      </c>
      <c r="Y243" s="6">
        <v>0</v>
      </c>
      <c r="Z243" s="6">
        <f t="shared" si="30"/>
        <v>23611.030000000035</v>
      </c>
      <c r="AA243" s="6" t="str">
        <f t="shared" si="31"/>
        <v xml:space="preserve"> Profit</v>
      </c>
      <c r="AB243" s="5" t="s">
        <v>963</v>
      </c>
      <c r="AC243" s="5" t="s">
        <v>714</v>
      </c>
      <c r="AD243" s="5" t="s">
        <v>345</v>
      </c>
      <c r="AE243" s="5" t="s">
        <v>67</v>
      </c>
      <c r="AF243" s="5" t="s">
        <v>146</v>
      </c>
      <c r="AG243" s="3">
        <v>45927</v>
      </c>
      <c r="AH243" s="3">
        <v>45933</v>
      </c>
    </row>
    <row r="244" spans="1:34" ht="12" customHeight="1">
      <c r="A244" s="3">
        <v>45927</v>
      </c>
      <c r="B244" s="5" t="s">
        <v>718</v>
      </c>
      <c r="C244" s="5" t="s">
        <v>719</v>
      </c>
      <c r="D244" s="5" t="s">
        <v>720</v>
      </c>
      <c r="E244" s="5" t="s">
        <v>100</v>
      </c>
      <c r="F244" s="5" t="str">
        <f t="shared" si="24"/>
        <v>Cloves</v>
      </c>
      <c r="G244" s="5" t="s">
        <v>256</v>
      </c>
      <c r="H244" s="5" t="s">
        <v>57</v>
      </c>
      <c r="I244" s="5" t="s">
        <v>58</v>
      </c>
      <c r="J244" s="6">
        <v>1</v>
      </c>
      <c r="K244" s="6">
        <v>25</v>
      </c>
      <c r="L244" s="6">
        <v>7192.5</v>
      </c>
      <c r="M244" s="6">
        <f t="shared" si="25"/>
        <v>179812.5</v>
      </c>
      <c r="N244" s="6">
        <v>0</v>
      </c>
      <c r="O244" s="6">
        <v>6850</v>
      </c>
      <c r="P244" s="6">
        <f t="shared" si="26"/>
        <v>171250</v>
      </c>
      <c r="Q244" s="6">
        <f t="shared" si="27"/>
        <v>8562.5</v>
      </c>
      <c r="R244" s="6">
        <v>0</v>
      </c>
      <c r="S244" s="6">
        <v>0</v>
      </c>
      <c r="T244" s="6">
        <v>0</v>
      </c>
      <c r="U244" s="6">
        <v>0</v>
      </c>
      <c r="V244" s="6">
        <v>32.9495</v>
      </c>
      <c r="W244" s="6">
        <f t="shared" si="28"/>
        <v>0</v>
      </c>
      <c r="X244" s="6">
        <f t="shared" si="29"/>
        <v>32.9495</v>
      </c>
      <c r="Y244" s="6">
        <v>0</v>
      </c>
      <c r="Z244" s="6">
        <f t="shared" si="30"/>
        <v>8529.5504999999994</v>
      </c>
      <c r="AA244" s="6" t="str">
        <f t="shared" si="31"/>
        <v xml:space="preserve"> Profit</v>
      </c>
      <c r="AB244" s="5" t="s">
        <v>964</v>
      </c>
      <c r="AC244" s="5" t="s">
        <v>721</v>
      </c>
      <c r="AD244" s="5" t="s">
        <v>103</v>
      </c>
      <c r="AE244" s="5" t="s">
        <v>722</v>
      </c>
      <c r="AF244" s="5" t="s">
        <v>146</v>
      </c>
      <c r="AG244" s="3">
        <v>45931</v>
      </c>
      <c r="AH244" s="3">
        <v>45937</v>
      </c>
    </row>
    <row r="245" spans="1:34" ht="12" customHeight="1">
      <c r="A245" s="3">
        <v>45931</v>
      </c>
      <c r="B245" s="5" t="s">
        <v>723</v>
      </c>
      <c r="C245" s="5" t="s">
        <v>631</v>
      </c>
      <c r="D245" s="5" t="s">
        <v>724</v>
      </c>
      <c r="E245" s="5" t="s">
        <v>100</v>
      </c>
      <c r="F245" s="5" t="str">
        <f t="shared" si="24"/>
        <v>Cloves</v>
      </c>
      <c r="G245" s="5" t="s">
        <v>256</v>
      </c>
      <c r="H245" s="5" t="s">
        <v>57</v>
      </c>
      <c r="I245" s="5" t="s">
        <v>58</v>
      </c>
      <c r="J245" s="6">
        <v>1</v>
      </c>
      <c r="K245" s="6">
        <v>27</v>
      </c>
      <c r="L245" s="6">
        <v>8190</v>
      </c>
      <c r="M245" s="6">
        <f t="shared" si="25"/>
        <v>221130</v>
      </c>
      <c r="N245" s="6">
        <v>0</v>
      </c>
      <c r="O245" s="6">
        <v>7800</v>
      </c>
      <c r="P245" s="6">
        <f t="shared" si="26"/>
        <v>210600</v>
      </c>
      <c r="Q245" s="6">
        <f t="shared" si="27"/>
        <v>10530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f t="shared" si="28"/>
        <v>0</v>
      </c>
      <c r="X245" s="6">
        <f t="shared" si="29"/>
        <v>0</v>
      </c>
      <c r="Y245" s="6">
        <v>0</v>
      </c>
      <c r="Z245" s="6">
        <f t="shared" si="30"/>
        <v>10530</v>
      </c>
      <c r="AA245" s="6" t="str">
        <f t="shared" si="31"/>
        <v xml:space="preserve"> Profit</v>
      </c>
      <c r="AB245" s="5" t="s">
        <v>725</v>
      </c>
      <c r="AC245" s="5" t="s">
        <v>721</v>
      </c>
      <c r="AD245" s="5" t="s">
        <v>103</v>
      </c>
      <c r="AE245" s="5" t="s">
        <v>722</v>
      </c>
      <c r="AF245" s="5" t="s">
        <v>146</v>
      </c>
      <c r="AG245" s="3">
        <v>45935</v>
      </c>
      <c r="AH245" s="3">
        <v>45941</v>
      </c>
    </row>
    <row r="246" spans="1:34" ht="12" customHeight="1">
      <c r="A246" s="3">
        <v>45935</v>
      </c>
      <c r="B246" s="5" t="s">
        <v>726</v>
      </c>
      <c r="C246" s="5" t="s">
        <v>719</v>
      </c>
      <c r="D246" s="5" t="s">
        <v>676</v>
      </c>
      <c r="E246" s="5" t="s">
        <v>157</v>
      </c>
      <c r="F246" s="5" t="str">
        <f t="shared" si="24"/>
        <v>Sugar</v>
      </c>
      <c r="G246" s="5" t="s">
        <v>38</v>
      </c>
      <c r="H246" s="5" t="s">
        <v>57</v>
      </c>
      <c r="I246" s="5" t="s">
        <v>58</v>
      </c>
      <c r="J246" s="6">
        <v>0</v>
      </c>
      <c r="K246" s="6">
        <v>0.18</v>
      </c>
      <c r="L246" s="6">
        <v>994</v>
      </c>
      <c r="M246" s="6">
        <f t="shared" si="25"/>
        <v>178.92</v>
      </c>
      <c r="N246" s="6">
        <v>0</v>
      </c>
      <c r="O246" s="6">
        <v>446</v>
      </c>
      <c r="P246" s="6">
        <f t="shared" si="26"/>
        <v>80.28</v>
      </c>
      <c r="Q246" s="6">
        <f t="shared" si="27"/>
        <v>98.639999999999986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f t="shared" si="28"/>
        <v>0</v>
      </c>
      <c r="X246" s="6">
        <f t="shared" si="29"/>
        <v>0</v>
      </c>
      <c r="Y246" s="6">
        <v>0</v>
      </c>
      <c r="Z246" s="6">
        <f t="shared" si="30"/>
        <v>98.639999999999986</v>
      </c>
      <c r="AA246" s="6" t="str">
        <f t="shared" si="31"/>
        <v xml:space="preserve"> Profit</v>
      </c>
      <c r="AB246" s="5" t="s">
        <v>965</v>
      </c>
      <c r="AC246" s="5" t="s">
        <v>159</v>
      </c>
      <c r="AD246" s="5" t="s">
        <v>160</v>
      </c>
      <c r="AE246" s="5" t="s">
        <v>161</v>
      </c>
      <c r="AF246" s="5" t="s">
        <v>45</v>
      </c>
      <c r="AG246" s="3">
        <v>45939</v>
      </c>
      <c r="AH246" s="3">
        <v>45945</v>
      </c>
    </row>
    <row r="247" spans="1:34" ht="12" customHeight="1">
      <c r="A247" s="3">
        <v>46023</v>
      </c>
      <c r="B247" s="5" t="s">
        <v>727</v>
      </c>
      <c r="C247" s="5" t="s">
        <v>664</v>
      </c>
      <c r="D247" s="5" t="s">
        <v>728</v>
      </c>
      <c r="E247" s="5" t="s">
        <v>37</v>
      </c>
      <c r="F247" s="5" t="str">
        <f t="shared" si="24"/>
        <v>Sugar</v>
      </c>
      <c r="G247" s="5" t="s">
        <v>729</v>
      </c>
      <c r="H247" s="5" t="s">
        <v>39</v>
      </c>
      <c r="I247" s="5" t="s">
        <v>40</v>
      </c>
      <c r="J247" s="6">
        <v>13</v>
      </c>
      <c r="K247" s="6">
        <v>350</v>
      </c>
      <c r="L247" s="6">
        <v>464.1</v>
      </c>
      <c r="M247" s="6">
        <f t="shared" si="25"/>
        <v>162435</v>
      </c>
      <c r="N247" s="6">
        <v>1244.4000000000001</v>
      </c>
      <c r="O247" s="6">
        <v>442</v>
      </c>
      <c r="P247" s="6">
        <f t="shared" si="26"/>
        <v>154700</v>
      </c>
      <c r="Q247" s="6">
        <f t="shared" si="27"/>
        <v>7735</v>
      </c>
      <c r="R247" s="6">
        <v>3050</v>
      </c>
      <c r="S247" s="6">
        <v>350</v>
      </c>
      <c r="T247" s="6">
        <v>556</v>
      </c>
      <c r="U247" s="6">
        <v>177.92</v>
      </c>
      <c r="V247" s="6">
        <v>365</v>
      </c>
      <c r="W247" s="6">
        <f t="shared" si="28"/>
        <v>1244.4000000000001</v>
      </c>
      <c r="X247" s="6">
        <f t="shared" si="29"/>
        <v>4498.92</v>
      </c>
      <c r="Y247" s="6">
        <v>0</v>
      </c>
      <c r="Z247" s="6">
        <f t="shared" si="30"/>
        <v>4480.4799999999996</v>
      </c>
      <c r="AA247" s="6" t="str">
        <f t="shared" si="31"/>
        <v xml:space="preserve"> Profit</v>
      </c>
      <c r="AB247" s="5" t="s">
        <v>730</v>
      </c>
      <c r="AC247" s="5" t="s">
        <v>42</v>
      </c>
      <c r="AD247" s="5" t="s">
        <v>43</v>
      </c>
      <c r="AE247" s="5" t="s">
        <v>238</v>
      </c>
      <c r="AF247" s="5" t="s">
        <v>45</v>
      </c>
      <c r="AG247" s="3">
        <v>46029</v>
      </c>
      <c r="AH247" s="3">
        <v>46033</v>
      </c>
    </row>
    <row r="248" spans="1:34" ht="12" customHeight="1">
      <c r="A248" s="3">
        <v>46023</v>
      </c>
      <c r="B248" s="5" t="s">
        <v>731</v>
      </c>
      <c r="C248" s="5" t="s">
        <v>732</v>
      </c>
      <c r="D248" s="5" t="s">
        <v>733</v>
      </c>
      <c r="E248" s="5" t="s">
        <v>37</v>
      </c>
      <c r="F248" s="5" t="str">
        <f t="shared" si="24"/>
        <v>Sugar</v>
      </c>
      <c r="G248" s="5" t="s">
        <v>49</v>
      </c>
      <c r="H248" s="5" t="s">
        <v>39</v>
      </c>
      <c r="I248" s="5" t="s">
        <v>40</v>
      </c>
      <c r="J248" s="6">
        <v>13</v>
      </c>
      <c r="K248" s="6">
        <v>350</v>
      </c>
      <c r="L248" s="6">
        <v>479.85</v>
      </c>
      <c r="M248" s="6">
        <f t="shared" si="25"/>
        <v>167947.5</v>
      </c>
      <c r="N248" s="6">
        <v>1244.4000000000001</v>
      </c>
      <c r="O248" s="6">
        <v>457</v>
      </c>
      <c r="P248" s="6">
        <f t="shared" si="26"/>
        <v>159950</v>
      </c>
      <c r="Q248" s="6">
        <f t="shared" si="27"/>
        <v>7997.5</v>
      </c>
      <c r="R248" s="6">
        <v>3050</v>
      </c>
      <c r="S248" s="6">
        <v>270</v>
      </c>
      <c r="T248" s="6">
        <v>510</v>
      </c>
      <c r="U248" s="6">
        <v>9.76</v>
      </c>
      <c r="V248" s="6">
        <v>19.580400000000001</v>
      </c>
      <c r="W248" s="6">
        <f t="shared" si="28"/>
        <v>1244.4000000000001</v>
      </c>
      <c r="X248" s="6">
        <f t="shared" si="29"/>
        <v>3859.3404</v>
      </c>
      <c r="Y248" s="6">
        <v>0</v>
      </c>
      <c r="Z248" s="6">
        <f t="shared" si="30"/>
        <v>5382.5596000000005</v>
      </c>
      <c r="AA248" s="6" t="str">
        <f t="shared" si="31"/>
        <v xml:space="preserve"> Profit</v>
      </c>
      <c r="AB248" s="5" t="s">
        <v>734</v>
      </c>
      <c r="AC248" s="5" t="s">
        <v>42</v>
      </c>
      <c r="AD248" s="5" t="s">
        <v>43</v>
      </c>
      <c r="AE248" s="5" t="s">
        <v>238</v>
      </c>
      <c r="AF248" s="5" t="s">
        <v>45</v>
      </c>
      <c r="AG248" s="3">
        <v>46029</v>
      </c>
      <c r="AH248" s="3">
        <v>46033</v>
      </c>
    </row>
    <row r="249" spans="1:34" ht="12" customHeight="1">
      <c r="A249" s="3">
        <v>46030</v>
      </c>
      <c r="B249" s="5" t="s">
        <v>735</v>
      </c>
      <c r="C249" s="5" t="s">
        <v>736</v>
      </c>
      <c r="D249" s="5" t="s">
        <v>737</v>
      </c>
      <c r="E249" s="5" t="s">
        <v>37</v>
      </c>
      <c r="F249" s="5" t="str">
        <f t="shared" si="24"/>
        <v>Sugar</v>
      </c>
      <c r="G249" s="5" t="s">
        <v>533</v>
      </c>
      <c r="H249" s="5" t="s">
        <v>39</v>
      </c>
      <c r="I249" s="5" t="s">
        <v>40</v>
      </c>
      <c r="J249" s="6">
        <v>10</v>
      </c>
      <c r="K249" s="6">
        <v>270</v>
      </c>
      <c r="L249" s="6">
        <v>471.97500000000002</v>
      </c>
      <c r="M249" s="6">
        <f t="shared" si="25"/>
        <v>127433.25</v>
      </c>
      <c r="N249" s="6">
        <v>1244.4000000000001</v>
      </c>
      <c r="O249" s="6">
        <v>449.5</v>
      </c>
      <c r="P249" s="6">
        <f t="shared" si="26"/>
        <v>121365</v>
      </c>
      <c r="Q249" s="6">
        <f t="shared" si="27"/>
        <v>6068.25</v>
      </c>
      <c r="R249" s="6">
        <v>3050</v>
      </c>
      <c r="S249" s="6">
        <v>540</v>
      </c>
      <c r="T249" s="6">
        <v>473</v>
      </c>
      <c r="U249" s="6">
        <v>9.76</v>
      </c>
      <c r="V249" s="6">
        <v>365</v>
      </c>
      <c r="W249" s="6">
        <f t="shared" si="28"/>
        <v>1244.4000000000001</v>
      </c>
      <c r="X249" s="6">
        <f t="shared" si="29"/>
        <v>4437.76</v>
      </c>
      <c r="Y249" s="6">
        <v>0</v>
      </c>
      <c r="Z249" s="6">
        <f t="shared" si="30"/>
        <v>2874.89</v>
      </c>
      <c r="AA249" s="6" t="str">
        <f t="shared" si="31"/>
        <v xml:space="preserve"> Profit</v>
      </c>
      <c r="AB249" s="5" t="s">
        <v>738</v>
      </c>
      <c r="AC249" s="5" t="s">
        <v>42</v>
      </c>
      <c r="AD249" s="5" t="s">
        <v>43</v>
      </c>
      <c r="AE249" s="5" t="s">
        <v>238</v>
      </c>
      <c r="AF249" s="5" t="s">
        <v>45</v>
      </c>
      <c r="AG249" s="3">
        <v>46036</v>
      </c>
      <c r="AH249" s="3">
        <v>46040</v>
      </c>
    </row>
    <row r="250" spans="1:34" ht="12" customHeight="1">
      <c r="A250" s="3">
        <v>46031</v>
      </c>
      <c r="B250" s="5" t="s">
        <v>739</v>
      </c>
      <c r="C250" s="5" t="s">
        <v>740</v>
      </c>
      <c r="D250" s="5" t="s">
        <v>741</v>
      </c>
      <c r="E250" s="5" t="s">
        <v>37</v>
      </c>
      <c r="F250" s="5" t="str">
        <f t="shared" si="24"/>
        <v>Sugar</v>
      </c>
      <c r="G250" s="5" t="s">
        <v>729</v>
      </c>
      <c r="H250" s="5" t="s">
        <v>39</v>
      </c>
      <c r="I250" s="5" t="s">
        <v>40</v>
      </c>
      <c r="J250" s="6">
        <v>20</v>
      </c>
      <c r="K250" s="6">
        <v>540</v>
      </c>
      <c r="L250" s="6">
        <v>477.91800000000001</v>
      </c>
      <c r="M250" s="6">
        <f t="shared" si="25"/>
        <v>258075.72</v>
      </c>
      <c r="N250" s="6">
        <v>9253.44</v>
      </c>
      <c r="O250" s="6">
        <v>455.16</v>
      </c>
      <c r="P250" s="6">
        <f t="shared" si="26"/>
        <v>245786.40000000002</v>
      </c>
      <c r="Q250" s="6">
        <f t="shared" si="27"/>
        <v>12289.319999999978</v>
      </c>
      <c r="R250" s="6">
        <v>22680</v>
      </c>
      <c r="S250" s="6">
        <v>270</v>
      </c>
      <c r="T250" s="6">
        <v>520</v>
      </c>
      <c r="U250" s="6">
        <v>72.575999999999993</v>
      </c>
      <c r="V250" s="6">
        <v>39.321399999999997</v>
      </c>
      <c r="W250" s="6">
        <f t="shared" si="28"/>
        <v>9253.44</v>
      </c>
      <c r="X250" s="6">
        <f t="shared" si="29"/>
        <v>23581.897400000002</v>
      </c>
      <c r="Y250" s="6">
        <v>0</v>
      </c>
      <c r="Z250" s="6">
        <f t="shared" si="30"/>
        <v>-2039.1374000000233</v>
      </c>
      <c r="AA250" s="6" t="str">
        <f t="shared" si="31"/>
        <v xml:space="preserve"> Loss</v>
      </c>
      <c r="AB250" s="5" t="s">
        <v>742</v>
      </c>
      <c r="AC250" s="5" t="s">
        <v>77</v>
      </c>
      <c r="AD250" s="5" t="s">
        <v>67</v>
      </c>
      <c r="AE250" s="5" t="s">
        <v>238</v>
      </c>
      <c r="AF250" s="5" t="s">
        <v>45</v>
      </c>
      <c r="AG250" s="3">
        <v>46037</v>
      </c>
      <c r="AH250" s="3">
        <v>46041</v>
      </c>
    </row>
    <row r="251" spans="1:34" ht="12" customHeight="1">
      <c r="A251" s="3">
        <v>46032</v>
      </c>
      <c r="B251" s="5" t="s">
        <v>743</v>
      </c>
      <c r="C251" s="5" t="s">
        <v>456</v>
      </c>
      <c r="D251" s="5" t="s">
        <v>744</v>
      </c>
      <c r="E251" s="5" t="s">
        <v>37</v>
      </c>
      <c r="F251" s="5" t="str">
        <f t="shared" si="24"/>
        <v>Sugar</v>
      </c>
      <c r="G251" s="5" t="s">
        <v>256</v>
      </c>
      <c r="H251" s="5" t="s">
        <v>39</v>
      </c>
      <c r="I251" s="5" t="s">
        <v>40</v>
      </c>
      <c r="J251" s="6">
        <v>10</v>
      </c>
      <c r="K251" s="6">
        <v>270</v>
      </c>
      <c r="L251" s="6">
        <v>441</v>
      </c>
      <c r="M251" s="6">
        <f t="shared" si="25"/>
        <v>119070</v>
      </c>
      <c r="N251" s="6">
        <v>4345.2</v>
      </c>
      <c r="O251" s="6">
        <v>420</v>
      </c>
      <c r="P251" s="6">
        <f t="shared" si="26"/>
        <v>113400</v>
      </c>
      <c r="Q251" s="6">
        <f t="shared" si="27"/>
        <v>5670</v>
      </c>
      <c r="R251" s="6">
        <v>10650</v>
      </c>
      <c r="S251" s="6">
        <v>1200</v>
      </c>
      <c r="T251" s="6">
        <v>520</v>
      </c>
      <c r="U251" s="6">
        <v>34.08</v>
      </c>
      <c r="V251" s="6">
        <v>11337.16</v>
      </c>
      <c r="W251" s="6">
        <f t="shared" si="28"/>
        <v>4345.2</v>
      </c>
      <c r="X251" s="6">
        <f t="shared" si="29"/>
        <v>23741.239999999998</v>
      </c>
      <c r="Y251" s="6">
        <v>0</v>
      </c>
      <c r="Z251" s="6">
        <f t="shared" si="30"/>
        <v>-13726.039999999997</v>
      </c>
      <c r="AA251" s="6" t="str">
        <f t="shared" si="31"/>
        <v xml:space="preserve"> Loss</v>
      </c>
      <c r="AB251" s="5" t="s">
        <v>745</v>
      </c>
      <c r="AC251" s="5" t="s">
        <v>82</v>
      </c>
      <c r="AD251" s="5" t="s">
        <v>43</v>
      </c>
      <c r="AE251" s="5" t="s">
        <v>238</v>
      </c>
      <c r="AF251" s="5" t="s">
        <v>45</v>
      </c>
      <c r="AG251" s="3">
        <v>46038</v>
      </c>
      <c r="AH251" s="3">
        <v>46042</v>
      </c>
    </row>
    <row r="252" spans="1:34" ht="12" customHeight="1">
      <c r="A252" s="3">
        <v>46035</v>
      </c>
      <c r="B252" s="5" t="s">
        <v>746</v>
      </c>
      <c r="C252" s="5" t="s">
        <v>451</v>
      </c>
      <c r="D252" s="5" t="s">
        <v>747</v>
      </c>
      <c r="E252" s="5" t="s">
        <v>37</v>
      </c>
      <c r="F252" s="5" t="str">
        <f t="shared" si="24"/>
        <v>Sugar</v>
      </c>
      <c r="G252" s="5" t="s">
        <v>49</v>
      </c>
      <c r="H252" s="5" t="s">
        <v>39</v>
      </c>
      <c r="I252" s="5" t="s">
        <v>40</v>
      </c>
      <c r="J252" s="6">
        <v>45</v>
      </c>
      <c r="K252" s="6">
        <v>1200</v>
      </c>
      <c r="L252" s="6">
        <v>462</v>
      </c>
      <c r="M252" s="6">
        <f t="shared" si="25"/>
        <v>554400</v>
      </c>
      <c r="N252" s="6">
        <v>22032</v>
      </c>
      <c r="O252" s="6">
        <v>440</v>
      </c>
      <c r="P252" s="6">
        <f t="shared" si="26"/>
        <v>528000</v>
      </c>
      <c r="Q252" s="6">
        <f t="shared" si="27"/>
        <v>26400</v>
      </c>
      <c r="R252" s="6">
        <v>54000</v>
      </c>
      <c r="S252" s="6">
        <v>270</v>
      </c>
      <c r="T252" s="6">
        <v>510</v>
      </c>
      <c r="U252" s="6">
        <v>172.8</v>
      </c>
      <c r="V252" s="6">
        <v>971.14670000000001</v>
      </c>
      <c r="W252" s="6">
        <f t="shared" si="28"/>
        <v>22032</v>
      </c>
      <c r="X252" s="6">
        <f t="shared" si="29"/>
        <v>55923.9467</v>
      </c>
      <c r="Y252" s="6">
        <v>0</v>
      </c>
      <c r="Z252" s="6">
        <f t="shared" si="30"/>
        <v>-7491.9467000000004</v>
      </c>
      <c r="AA252" s="6" t="str">
        <f t="shared" si="31"/>
        <v xml:space="preserve"> Loss</v>
      </c>
      <c r="AB252" s="5" t="s">
        <v>748</v>
      </c>
      <c r="AC252" s="5" t="s">
        <v>42</v>
      </c>
      <c r="AD252" s="5" t="s">
        <v>43</v>
      </c>
      <c r="AE252" s="5" t="s">
        <v>238</v>
      </c>
      <c r="AF252" s="5" t="s">
        <v>45</v>
      </c>
      <c r="AG252" s="3">
        <v>46041</v>
      </c>
      <c r="AH252" s="3">
        <v>46045</v>
      </c>
    </row>
    <row r="253" spans="1:34" ht="12" customHeight="1">
      <c r="A253" s="3">
        <v>46041</v>
      </c>
      <c r="B253" s="5" t="s">
        <v>749</v>
      </c>
      <c r="C253" s="5" t="s">
        <v>456</v>
      </c>
      <c r="D253" s="5" t="s">
        <v>744</v>
      </c>
      <c r="E253" s="5" t="s">
        <v>37</v>
      </c>
      <c r="F253" s="5" t="str">
        <f t="shared" si="24"/>
        <v>Sugar</v>
      </c>
      <c r="G253" s="5" t="s">
        <v>256</v>
      </c>
      <c r="H253" s="5" t="s">
        <v>39</v>
      </c>
      <c r="I253" s="5" t="s">
        <v>80</v>
      </c>
      <c r="J253" s="6">
        <v>10</v>
      </c>
      <c r="K253" s="6">
        <v>270</v>
      </c>
      <c r="L253" s="6">
        <v>462.55650000000003</v>
      </c>
      <c r="M253" s="6">
        <f t="shared" si="25"/>
        <v>124890.255</v>
      </c>
      <c r="N253" s="6">
        <v>4957.2</v>
      </c>
      <c r="O253" s="6">
        <v>440.53</v>
      </c>
      <c r="P253" s="6">
        <f t="shared" si="26"/>
        <v>118943.09999999999</v>
      </c>
      <c r="Q253" s="6">
        <f t="shared" si="27"/>
        <v>5947.1550000000134</v>
      </c>
      <c r="R253" s="6">
        <v>12150</v>
      </c>
      <c r="S253" s="6">
        <v>0</v>
      </c>
      <c r="T253" s="6">
        <v>453.5</v>
      </c>
      <c r="U253" s="6">
        <v>38.880000000000003</v>
      </c>
      <c r="V253" s="6">
        <v>212.876</v>
      </c>
      <c r="W253" s="6">
        <f t="shared" si="28"/>
        <v>4957.2</v>
      </c>
      <c r="X253" s="6">
        <f t="shared" si="29"/>
        <v>12855.255999999999</v>
      </c>
      <c r="Y253" s="6">
        <v>0</v>
      </c>
      <c r="Z253" s="6">
        <f t="shared" si="30"/>
        <v>-1950.9009999999862</v>
      </c>
      <c r="AA253" s="6" t="str">
        <f t="shared" si="31"/>
        <v xml:space="preserve"> Loss</v>
      </c>
      <c r="AB253" s="5" t="s">
        <v>750</v>
      </c>
      <c r="AC253" s="5" t="s">
        <v>42</v>
      </c>
      <c r="AD253" s="5" t="s">
        <v>43</v>
      </c>
      <c r="AE253" s="5" t="s">
        <v>238</v>
      </c>
      <c r="AF253" s="5" t="s">
        <v>45</v>
      </c>
      <c r="AG253" s="3">
        <v>46047</v>
      </c>
      <c r="AH253" s="3">
        <v>46051</v>
      </c>
    </row>
    <row r="254" spans="1:34" ht="12" customHeight="1">
      <c r="A254" s="3">
        <v>46044</v>
      </c>
      <c r="B254" s="5" t="s">
        <v>751</v>
      </c>
      <c r="C254" s="5" t="s">
        <v>752</v>
      </c>
      <c r="D254" s="5" t="s">
        <v>753</v>
      </c>
      <c r="E254" s="5" t="s">
        <v>63</v>
      </c>
      <c r="F254" s="5" t="str">
        <f t="shared" si="24"/>
        <v>Rice</v>
      </c>
      <c r="G254" s="5" t="s">
        <v>38</v>
      </c>
      <c r="H254" s="5" t="s">
        <v>754</v>
      </c>
      <c r="I254" s="5" t="s">
        <v>80</v>
      </c>
      <c r="J254" s="6">
        <v>15</v>
      </c>
      <c r="K254" s="6">
        <v>315</v>
      </c>
      <c r="L254" s="6">
        <v>430.5</v>
      </c>
      <c r="M254" s="6">
        <f t="shared" si="25"/>
        <v>135607.5</v>
      </c>
      <c r="N254" s="6">
        <v>3519</v>
      </c>
      <c r="O254" s="6">
        <v>410</v>
      </c>
      <c r="P254" s="6">
        <f t="shared" si="26"/>
        <v>129150</v>
      </c>
      <c r="Q254" s="6">
        <f t="shared" si="27"/>
        <v>6457.5</v>
      </c>
      <c r="R254" s="6">
        <v>8625</v>
      </c>
      <c r="S254" s="6">
        <v>0</v>
      </c>
      <c r="T254" s="6">
        <v>485</v>
      </c>
      <c r="U254" s="6">
        <v>27.6</v>
      </c>
      <c r="V254" s="6">
        <v>8.58</v>
      </c>
      <c r="W254" s="6">
        <f t="shared" si="28"/>
        <v>3519</v>
      </c>
      <c r="X254" s="6">
        <f t="shared" si="29"/>
        <v>9146.18</v>
      </c>
      <c r="Y254" s="6">
        <v>0</v>
      </c>
      <c r="Z254" s="6">
        <f t="shared" si="30"/>
        <v>830.31999999999971</v>
      </c>
      <c r="AA254" s="6" t="str">
        <f t="shared" si="31"/>
        <v xml:space="preserve"> Profit</v>
      </c>
      <c r="AB254" s="5" t="s">
        <v>755</v>
      </c>
      <c r="AC254" s="5" t="s">
        <v>42</v>
      </c>
      <c r="AD254" s="5" t="s">
        <v>43</v>
      </c>
      <c r="AE254" s="5" t="s">
        <v>238</v>
      </c>
      <c r="AF254" s="5" t="s">
        <v>45</v>
      </c>
      <c r="AG254" s="3">
        <v>46050</v>
      </c>
      <c r="AH254" s="3">
        <v>46054</v>
      </c>
    </row>
    <row r="255" spans="1:34" ht="12" customHeight="1">
      <c r="A255" s="3">
        <v>46046</v>
      </c>
      <c r="B255" s="5" t="s">
        <v>756</v>
      </c>
      <c r="C255" s="5" t="s">
        <v>757</v>
      </c>
      <c r="D255" s="5" t="s">
        <v>758</v>
      </c>
      <c r="E255" s="5" t="s">
        <v>63</v>
      </c>
      <c r="F255" s="5" t="str">
        <f t="shared" si="24"/>
        <v>Rice</v>
      </c>
      <c r="G255" s="5" t="s">
        <v>64</v>
      </c>
      <c r="H255" s="5" t="s">
        <v>64</v>
      </c>
      <c r="I255" s="5" t="s">
        <v>58</v>
      </c>
      <c r="J255" s="6">
        <v>187</v>
      </c>
      <c r="K255" s="6">
        <v>4855</v>
      </c>
      <c r="L255" s="6">
        <v>472.5</v>
      </c>
      <c r="M255" s="6">
        <f t="shared" si="25"/>
        <v>2293987.5</v>
      </c>
      <c r="N255" s="6">
        <v>0</v>
      </c>
      <c r="O255" s="6">
        <v>450</v>
      </c>
      <c r="P255" s="6">
        <f t="shared" si="26"/>
        <v>2184750</v>
      </c>
      <c r="Q255" s="6">
        <f t="shared" si="27"/>
        <v>109237.5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f t="shared" si="28"/>
        <v>0</v>
      </c>
      <c r="X255" s="6">
        <f t="shared" si="29"/>
        <v>0</v>
      </c>
      <c r="Y255" s="6">
        <v>0</v>
      </c>
      <c r="Z255" s="6">
        <f t="shared" si="30"/>
        <v>109237.5</v>
      </c>
      <c r="AA255" s="6" t="str">
        <f t="shared" si="31"/>
        <v xml:space="preserve"> Profit</v>
      </c>
      <c r="AB255" s="5" t="s">
        <v>759</v>
      </c>
      <c r="AC255" s="5" t="s">
        <v>42</v>
      </c>
      <c r="AD255" s="5" t="s">
        <v>43</v>
      </c>
      <c r="AE255" s="5" t="s">
        <v>238</v>
      </c>
      <c r="AF255" s="5" t="s">
        <v>45</v>
      </c>
      <c r="AG255" s="3">
        <v>46052</v>
      </c>
      <c r="AH255" s="3">
        <v>46056</v>
      </c>
    </row>
    <row r="256" spans="1:34" ht="12" customHeight="1">
      <c r="A256" s="3">
        <v>46047</v>
      </c>
      <c r="B256" s="5" t="s">
        <v>760</v>
      </c>
      <c r="C256" s="5" t="s">
        <v>761</v>
      </c>
      <c r="D256" s="5" t="s">
        <v>762</v>
      </c>
      <c r="E256" s="5" t="s">
        <v>341</v>
      </c>
      <c r="F256" s="5" t="str">
        <f t="shared" si="24"/>
        <v>Lentils</v>
      </c>
      <c r="G256" s="5" t="s">
        <v>256</v>
      </c>
      <c r="H256" s="5" t="s">
        <v>64</v>
      </c>
      <c r="I256" s="5" t="s">
        <v>80</v>
      </c>
      <c r="J256" s="6">
        <v>10</v>
      </c>
      <c r="K256" s="6">
        <v>248</v>
      </c>
      <c r="L256" s="6">
        <v>735</v>
      </c>
      <c r="M256" s="6">
        <f t="shared" si="25"/>
        <v>182280</v>
      </c>
      <c r="N256" s="6">
        <v>3876</v>
      </c>
      <c r="O256" s="6">
        <v>700</v>
      </c>
      <c r="P256" s="6">
        <f t="shared" si="26"/>
        <v>173600</v>
      </c>
      <c r="Q256" s="6">
        <f t="shared" si="27"/>
        <v>8680</v>
      </c>
      <c r="R256" s="6">
        <v>9500</v>
      </c>
      <c r="S256" s="6">
        <v>0</v>
      </c>
      <c r="T256" s="6">
        <v>745</v>
      </c>
      <c r="U256" s="6">
        <v>30.4</v>
      </c>
      <c r="V256" s="6">
        <v>1000</v>
      </c>
      <c r="W256" s="6">
        <f t="shared" si="28"/>
        <v>3876</v>
      </c>
      <c r="X256" s="6">
        <f t="shared" si="29"/>
        <v>11275.4</v>
      </c>
      <c r="Y256" s="6">
        <v>0</v>
      </c>
      <c r="Z256" s="6">
        <f t="shared" si="30"/>
        <v>1280.6000000000004</v>
      </c>
      <c r="AA256" s="6" t="str">
        <f t="shared" si="31"/>
        <v xml:space="preserve"> Profit</v>
      </c>
      <c r="AB256" s="5" t="s">
        <v>763</v>
      </c>
      <c r="AC256" s="5" t="s">
        <v>77</v>
      </c>
      <c r="AD256" s="5" t="s">
        <v>67</v>
      </c>
      <c r="AE256" s="5" t="s">
        <v>238</v>
      </c>
      <c r="AF256" s="5" t="s">
        <v>45</v>
      </c>
      <c r="AG256" s="3">
        <v>46053</v>
      </c>
      <c r="AH256" s="3">
        <v>46057</v>
      </c>
    </row>
    <row r="257" spans="1:34" ht="12" customHeight="1">
      <c r="A257" s="3">
        <v>46048</v>
      </c>
      <c r="B257" s="5" t="s">
        <v>764</v>
      </c>
      <c r="C257" s="5" t="s">
        <v>761</v>
      </c>
      <c r="D257" s="5" t="s">
        <v>762</v>
      </c>
      <c r="E257" s="5" t="s">
        <v>341</v>
      </c>
      <c r="F257" s="5" t="str">
        <f t="shared" si="24"/>
        <v>Lentils</v>
      </c>
      <c r="G257" s="5" t="s">
        <v>256</v>
      </c>
      <c r="H257" s="5" t="s">
        <v>64</v>
      </c>
      <c r="I257" s="5" t="s">
        <v>80</v>
      </c>
      <c r="J257" s="6">
        <v>10</v>
      </c>
      <c r="K257" s="6">
        <v>248</v>
      </c>
      <c r="L257" s="6">
        <v>735</v>
      </c>
      <c r="M257" s="6">
        <f t="shared" si="25"/>
        <v>182280</v>
      </c>
      <c r="N257" s="6">
        <v>3876</v>
      </c>
      <c r="O257" s="6">
        <v>700</v>
      </c>
      <c r="P257" s="6">
        <f t="shared" si="26"/>
        <v>173600</v>
      </c>
      <c r="Q257" s="6">
        <f t="shared" si="27"/>
        <v>8680</v>
      </c>
      <c r="R257" s="6">
        <v>9500</v>
      </c>
      <c r="S257" s="6">
        <v>0</v>
      </c>
      <c r="T257" s="6">
        <v>745</v>
      </c>
      <c r="U257" s="6">
        <v>30.4</v>
      </c>
      <c r="V257" s="6">
        <v>1000</v>
      </c>
      <c r="W257" s="6">
        <f t="shared" si="28"/>
        <v>3876</v>
      </c>
      <c r="X257" s="6">
        <f t="shared" si="29"/>
        <v>11275.4</v>
      </c>
      <c r="Y257" s="6">
        <v>0</v>
      </c>
      <c r="Z257" s="6">
        <f t="shared" si="30"/>
        <v>1280.6000000000004</v>
      </c>
      <c r="AA257" s="6" t="str">
        <f t="shared" si="31"/>
        <v xml:space="preserve"> Profit</v>
      </c>
      <c r="AB257" s="5" t="s">
        <v>765</v>
      </c>
      <c r="AC257" s="5" t="s">
        <v>82</v>
      </c>
      <c r="AD257" s="5" t="s">
        <v>43</v>
      </c>
      <c r="AE257" s="5" t="s">
        <v>238</v>
      </c>
      <c r="AF257" s="5" t="s">
        <v>45</v>
      </c>
      <c r="AG257" s="3">
        <v>46054</v>
      </c>
      <c r="AH257" s="3">
        <v>46058</v>
      </c>
    </row>
    <row r="258" spans="1:34" ht="12" customHeight="1">
      <c r="A258" s="3">
        <v>46050</v>
      </c>
      <c r="B258" s="5" t="s">
        <v>766</v>
      </c>
      <c r="C258" s="5" t="s">
        <v>767</v>
      </c>
      <c r="D258" s="5" t="s">
        <v>768</v>
      </c>
      <c r="E258" s="5" t="s">
        <v>341</v>
      </c>
      <c r="F258" s="5" t="str">
        <f t="shared" ref="F258:F311" si="32">IF(ISNUMBER(SEARCH("Rice",E258)),"Rice",IF(ISNUMBER(SEARCH("Basmati",E258)),"Rice",IF(ISNUMBER(SEARCH("Sugar",E258)),"Sugar",IF(ISNUMBER(SEARCH("Lentils",E258)),"Lentils",IF(ISNUMBER(SEARCH("Masoor",E258)),"Lentils",IF(ISNUMBER(SEARCH("Cloves",E258)),"Cloves",IF(ISNUMBER(SEARCH("Sunflower",E258)),"Sunflower","Other")))))))</f>
        <v>Lentils</v>
      </c>
      <c r="G258" s="5" t="s">
        <v>444</v>
      </c>
      <c r="H258" s="5" t="s">
        <v>64</v>
      </c>
      <c r="I258" s="5" t="s">
        <v>80</v>
      </c>
      <c r="J258" s="6">
        <v>15</v>
      </c>
      <c r="K258" s="6">
        <v>382</v>
      </c>
      <c r="L258" s="6">
        <v>724.5</v>
      </c>
      <c r="M258" s="6">
        <f t="shared" ref="M258:M311" si="33">L258*K258</f>
        <v>276759</v>
      </c>
      <c r="N258" s="6">
        <v>6426</v>
      </c>
      <c r="O258" s="6">
        <v>690</v>
      </c>
      <c r="P258" s="6">
        <f t="shared" ref="P258:P311" si="34">K258*O258</f>
        <v>263580</v>
      </c>
      <c r="Q258" s="6">
        <f t="shared" ref="Q258:Q311" si="35">M258-P258</f>
        <v>13179</v>
      </c>
      <c r="R258" s="6">
        <v>15750</v>
      </c>
      <c r="S258" s="6">
        <v>0</v>
      </c>
      <c r="T258" s="6">
        <v>755</v>
      </c>
      <c r="U258" s="6">
        <v>50.4</v>
      </c>
      <c r="V258" s="6">
        <v>8.5748999999999995</v>
      </c>
      <c r="W258" s="6">
        <f t="shared" ref="W258:W311" si="36">N258+Y258</f>
        <v>6426</v>
      </c>
      <c r="X258" s="6">
        <f t="shared" ref="X258:X310" si="37">R258+S258+T258+U258+V258</f>
        <v>16563.974900000001</v>
      </c>
      <c r="Y258" s="6">
        <v>0</v>
      </c>
      <c r="Z258" s="6">
        <f t="shared" ref="Z258:Z311" si="38">Q258-X258+W258</f>
        <v>3041.0250999999989</v>
      </c>
      <c r="AA258" s="6" t="str">
        <f t="shared" ref="AA258:AA311" si="39">IF(Z258&gt;=0," Profit", " Loss")</f>
        <v xml:space="preserve"> Profit</v>
      </c>
      <c r="AB258" s="5" t="s">
        <v>769</v>
      </c>
      <c r="AC258" s="5" t="s">
        <v>82</v>
      </c>
      <c r="AD258" s="5" t="s">
        <v>88</v>
      </c>
      <c r="AE258" s="5" t="s">
        <v>770</v>
      </c>
      <c r="AF258" s="5" t="s">
        <v>771</v>
      </c>
      <c r="AG258" s="3">
        <v>46056</v>
      </c>
      <c r="AH258" s="3">
        <v>46060</v>
      </c>
    </row>
    <row r="259" spans="1:34" ht="12" customHeight="1">
      <c r="A259" s="3">
        <v>46052</v>
      </c>
      <c r="B259" s="5" t="s">
        <v>772</v>
      </c>
      <c r="C259" s="5" t="s">
        <v>773</v>
      </c>
      <c r="D259" s="5" t="s">
        <v>774</v>
      </c>
      <c r="E259" s="5" t="s">
        <v>341</v>
      </c>
      <c r="F259" s="5" t="str">
        <f t="shared" si="32"/>
        <v>Lentils</v>
      </c>
      <c r="G259" s="5" t="s">
        <v>256</v>
      </c>
      <c r="H259" s="5" t="s">
        <v>64</v>
      </c>
      <c r="I259" s="5" t="s">
        <v>80</v>
      </c>
      <c r="J259" s="6">
        <v>10</v>
      </c>
      <c r="K259" s="6">
        <v>250</v>
      </c>
      <c r="L259" s="6">
        <v>735</v>
      </c>
      <c r="M259" s="6">
        <f t="shared" si="33"/>
        <v>183750</v>
      </c>
      <c r="N259" s="6">
        <v>12512.380800000001</v>
      </c>
      <c r="O259" s="6">
        <v>700</v>
      </c>
      <c r="P259" s="6">
        <f t="shared" si="34"/>
        <v>175000</v>
      </c>
      <c r="Q259" s="6">
        <f t="shared" si="35"/>
        <v>8750</v>
      </c>
      <c r="R259" s="6">
        <v>30667.599999999999</v>
      </c>
      <c r="S259" s="6">
        <v>0</v>
      </c>
      <c r="T259" s="6">
        <v>771.5</v>
      </c>
      <c r="U259" s="6">
        <v>98.136300000000006</v>
      </c>
      <c r="V259" s="6">
        <v>2011.5</v>
      </c>
      <c r="W259" s="6">
        <f t="shared" si="36"/>
        <v>12512.380800000001</v>
      </c>
      <c r="X259" s="6">
        <f t="shared" si="37"/>
        <v>33548.736299999997</v>
      </c>
      <c r="Y259" s="6">
        <v>0</v>
      </c>
      <c r="Z259" s="6">
        <f t="shared" si="38"/>
        <v>-12286.355499999996</v>
      </c>
      <c r="AA259" s="6" t="str">
        <f t="shared" si="39"/>
        <v xml:space="preserve"> Loss</v>
      </c>
      <c r="AB259" s="5" t="s">
        <v>775</v>
      </c>
      <c r="AC259" s="5" t="s">
        <v>42</v>
      </c>
      <c r="AD259" s="5" t="s">
        <v>43</v>
      </c>
      <c r="AE259" s="5" t="s">
        <v>238</v>
      </c>
      <c r="AF259" s="5" t="s">
        <v>45</v>
      </c>
      <c r="AG259" s="3">
        <v>46058</v>
      </c>
      <c r="AH259" s="3">
        <v>46062</v>
      </c>
    </row>
    <row r="260" spans="1:34" ht="12" customHeight="1">
      <c r="A260" s="3">
        <v>46055</v>
      </c>
      <c r="B260" s="5" t="s">
        <v>776</v>
      </c>
      <c r="C260" s="5" t="s">
        <v>773</v>
      </c>
      <c r="D260" s="5" t="s">
        <v>774</v>
      </c>
      <c r="E260" s="5" t="s">
        <v>341</v>
      </c>
      <c r="F260" s="5" t="str">
        <f t="shared" si="32"/>
        <v>Lentils</v>
      </c>
      <c r="G260" s="5" t="s">
        <v>256</v>
      </c>
      <c r="H260" s="5" t="s">
        <v>64</v>
      </c>
      <c r="I260" s="5" t="s">
        <v>58</v>
      </c>
      <c r="J260" s="6">
        <v>10</v>
      </c>
      <c r="K260" s="6">
        <v>250</v>
      </c>
      <c r="L260" s="6">
        <v>735</v>
      </c>
      <c r="M260" s="6">
        <f t="shared" si="33"/>
        <v>183750</v>
      </c>
      <c r="N260" s="6">
        <v>0</v>
      </c>
      <c r="O260" s="6">
        <v>700</v>
      </c>
      <c r="P260" s="6">
        <f t="shared" si="34"/>
        <v>175000</v>
      </c>
      <c r="Q260" s="6">
        <f t="shared" si="35"/>
        <v>8750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f t="shared" si="36"/>
        <v>0</v>
      </c>
      <c r="X260" s="6">
        <f t="shared" si="37"/>
        <v>0</v>
      </c>
      <c r="Y260" s="6">
        <v>0</v>
      </c>
      <c r="Z260" s="6">
        <f t="shared" si="38"/>
        <v>8750</v>
      </c>
      <c r="AA260" s="6" t="str">
        <f t="shared" si="39"/>
        <v xml:space="preserve"> Profit</v>
      </c>
      <c r="AB260" s="5" t="s">
        <v>777</v>
      </c>
      <c r="AC260" s="5" t="s">
        <v>42</v>
      </c>
      <c r="AD260" s="5" t="s">
        <v>43</v>
      </c>
      <c r="AE260" s="5" t="s">
        <v>238</v>
      </c>
      <c r="AF260" s="5" t="s">
        <v>45</v>
      </c>
      <c r="AG260" s="3">
        <v>46061</v>
      </c>
      <c r="AH260" s="3">
        <v>46065</v>
      </c>
    </row>
    <row r="261" spans="1:34" ht="12" customHeight="1">
      <c r="A261" s="3">
        <v>46059</v>
      </c>
      <c r="B261" s="5" t="s">
        <v>778</v>
      </c>
      <c r="C261" s="5" t="s">
        <v>767</v>
      </c>
      <c r="D261" s="5" t="s">
        <v>768</v>
      </c>
      <c r="E261" s="5" t="s">
        <v>341</v>
      </c>
      <c r="F261" s="5" t="str">
        <f t="shared" si="32"/>
        <v>Lentils</v>
      </c>
      <c r="G261" s="5" t="s">
        <v>444</v>
      </c>
      <c r="H261" s="5" t="s">
        <v>64</v>
      </c>
      <c r="I261" s="5" t="s">
        <v>80</v>
      </c>
      <c r="J261" s="6">
        <v>10</v>
      </c>
      <c r="K261" s="6">
        <v>255</v>
      </c>
      <c r="L261" s="6">
        <v>724.5</v>
      </c>
      <c r="M261" s="6">
        <f t="shared" si="33"/>
        <v>184747.5</v>
      </c>
      <c r="N261" s="6">
        <v>4730.3927999999996</v>
      </c>
      <c r="O261" s="6">
        <v>690</v>
      </c>
      <c r="P261" s="6">
        <f t="shared" si="34"/>
        <v>175950</v>
      </c>
      <c r="Q261" s="6">
        <f t="shared" si="35"/>
        <v>8797.5</v>
      </c>
      <c r="R261" s="6">
        <v>11594.1</v>
      </c>
      <c r="S261" s="6">
        <v>0</v>
      </c>
      <c r="T261" s="6">
        <v>755</v>
      </c>
      <c r="U261" s="6">
        <v>37.101100000000002</v>
      </c>
      <c r="V261" s="6">
        <v>11.5</v>
      </c>
      <c r="W261" s="6">
        <f t="shared" si="36"/>
        <v>4730.3927999999996</v>
      </c>
      <c r="X261" s="6">
        <f t="shared" si="37"/>
        <v>12397.7011</v>
      </c>
      <c r="Y261" s="6">
        <v>0</v>
      </c>
      <c r="Z261" s="6">
        <f t="shared" si="38"/>
        <v>1130.1916999999994</v>
      </c>
      <c r="AA261" s="6" t="str">
        <f t="shared" si="39"/>
        <v xml:space="preserve"> Profit</v>
      </c>
      <c r="AB261" s="5" t="s">
        <v>779</v>
      </c>
      <c r="AC261" s="5" t="s">
        <v>189</v>
      </c>
      <c r="AD261" s="5" t="s">
        <v>67</v>
      </c>
      <c r="AE261" s="5" t="s">
        <v>185</v>
      </c>
      <c r="AF261" s="5" t="s">
        <v>185</v>
      </c>
      <c r="AG261" s="3">
        <v>46065</v>
      </c>
      <c r="AH261" s="3">
        <v>46069</v>
      </c>
    </row>
    <row r="262" spans="1:34" ht="12" customHeight="1">
      <c r="A262" s="3">
        <v>46063</v>
      </c>
      <c r="B262" s="5" t="s">
        <v>780</v>
      </c>
      <c r="C262" s="5" t="s">
        <v>781</v>
      </c>
      <c r="D262" s="5" t="s">
        <v>782</v>
      </c>
      <c r="E262" s="5" t="s">
        <v>341</v>
      </c>
      <c r="F262" s="5" t="str">
        <f t="shared" si="32"/>
        <v>Lentils</v>
      </c>
      <c r="G262" s="5" t="s">
        <v>444</v>
      </c>
      <c r="H262" s="5" t="s">
        <v>64</v>
      </c>
      <c r="I262" s="5" t="s">
        <v>80</v>
      </c>
      <c r="J262" s="6">
        <v>10</v>
      </c>
      <c r="K262" s="6">
        <v>250</v>
      </c>
      <c r="L262" s="6">
        <v>735</v>
      </c>
      <c r="M262" s="6">
        <f t="shared" si="33"/>
        <v>183750</v>
      </c>
      <c r="N262" s="6">
        <v>3876</v>
      </c>
      <c r="O262" s="6">
        <v>700</v>
      </c>
      <c r="P262" s="6">
        <f t="shared" si="34"/>
        <v>175000</v>
      </c>
      <c r="Q262" s="6">
        <f t="shared" si="35"/>
        <v>8750</v>
      </c>
      <c r="R262" s="6">
        <v>9500</v>
      </c>
      <c r="S262" s="6">
        <v>0</v>
      </c>
      <c r="T262" s="6">
        <v>760</v>
      </c>
      <c r="U262" s="6">
        <v>30.4</v>
      </c>
      <c r="V262" s="6">
        <v>0</v>
      </c>
      <c r="W262" s="6">
        <f t="shared" si="36"/>
        <v>3876</v>
      </c>
      <c r="X262" s="6">
        <f t="shared" si="37"/>
        <v>10290.4</v>
      </c>
      <c r="Y262" s="6">
        <v>0</v>
      </c>
      <c r="Z262" s="6">
        <f t="shared" si="38"/>
        <v>2335.6000000000004</v>
      </c>
      <c r="AA262" s="6" t="str">
        <f t="shared" si="39"/>
        <v xml:space="preserve"> Profit</v>
      </c>
      <c r="AB262" s="5" t="s">
        <v>783</v>
      </c>
      <c r="AC262" s="5" t="s">
        <v>193</v>
      </c>
      <c r="AD262" s="5" t="s">
        <v>67</v>
      </c>
      <c r="AE262" s="5" t="s">
        <v>238</v>
      </c>
      <c r="AF262" s="5" t="s">
        <v>45</v>
      </c>
      <c r="AG262" s="3">
        <v>46069</v>
      </c>
      <c r="AH262" s="3">
        <v>46073</v>
      </c>
    </row>
    <row r="263" spans="1:34" ht="12" customHeight="1">
      <c r="A263" s="3">
        <v>46064</v>
      </c>
      <c r="B263" s="5" t="s">
        <v>784</v>
      </c>
      <c r="C263" s="5" t="s">
        <v>785</v>
      </c>
      <c r="D263" s="5" t="s">
        <v>786</v>
      </c>
      <c r="E263" s="5" t="s">
        <v>341</v>
      </c>
      <c r="F263" s="5" t="str">
        <f t="shared" si="32"/>
        <v>Lentils</v>
      </c>
      <c r="G263" s="5" t="s">
        <v>787</v>
      </c>
      <c r="H263" s="5" t="s">
        <v>64</v>
      </c>
      <c r="I263" s="5" t="s">
        <v>40</v>
      </c>
      <c r="J263" s="6">
        <v>10</v>
      </c>
      <c r="K263" s="6">
        <v>250</v>
      </c>
      <c r="L263" s="6">
        <v>735</v>
      </c>
      <c r="M263" s="6">
        <f t="shared" si="33"/>
        <v>183750</v>
      </c>
      <c r="N263" s="6">
        <v>6128.16</v>
      </c>
      <c r="O263" s="6">
        <v>700</v>
      </c>
      <c r="P263" s="6">
        <f t="shared" si="34"/>
        <v>175000</v>
      </c>
      <c r="Q263" s="6">
        <f t="shared" si="35"/>
        <v>8750</v>
      </c>
      <c r="R263" s="6">
        <v>15020</v>
      </c>
      <c r="S263" s="6">
        <v>1000</v>
      </c>
      <c r="T263" s="6">
        <v>780</v>
      </c>
      <c r="U263" s="6">
        <v>48.064</v>
      </c>
      <c r="V263" s="6">
        <v>0</v>
      </c>
      <c r="W263" s="6">
        <f t="shared" si="36"/>
        <v>6128.16</v>
      </c>
      <c r="X263" s="6">
        <f t="shared" si="37"/>
        <v>16848.063999999998</v>
      </c>
      <c r="Y263" s="6">
        <v>0</v>
      </c>
      <c r="Z263" s="6">
        <f t="shared" si="38"/>
        <v>-1969.9039999999986</v>
      </c>
      <c r="AA263" s="6" t="str">
        <f t="shared" si="39"/>
        <v xml:space="preserve"> Loss</v>
      </c>
      <c r="AB263" s="5" t="s">
        <v>788</v>
      </c>
      <c r="AC263" s="5" t="s">
        <v>66</v>
      </c>
      <c r="AD263" s="5" t="s">
        <v>67</v>
      </c>
      <c r="AE263" s="5" t="s">
        <v>770</v>
      </c>
      <c r="AF263" s="5" t="s">
        <v>771</v>
      </c>
      <c r="AG263" s="3">
        <v>46070</v>
      </c>
      <c r="AH263" s="3">
        <v>46074</v>
      </c>
    </row>
    <row r="264" spans="1:34" ht="12" customHeight="1">
      <c r="A264" s="3">
        <v>46073</v>
      </c>
      <c r="B264" s="5" t="s">
        <v>789</v>
      </c>
      <c r="C264" s="5" t="s">
        <v>773</v>
      </c>
      <c r="D264" s="5" t="s">
        <v>790</v>
      </c>
      <c r="E264" s="5" t="s">
        <v>341</v>
      </c>
      <c r="F264" s="5" t="str">
        <f t="shared" si="32"/>
        <v>Lentils</v>
      </c>
      <c r="G264" s="5" t="s">
        <v>256</v>
      </c>
      <c r="H264" s="5" t="s">
        <v>64</v>
      </c>
      <c r="I264" s="5" t="s">
        <v>58</v>
      </c>
      <c r="J264" s="6">
        <v>0</v>
      </c>
      <c r="K264" s="6">
        <v>1000</v>
      </c>
      <c r="L264" s="6">
        <v>782.25</v>
      </c>
      <c r="M264" s="6">
        <f t="shared" si="33"/>
        <v>782250</v>
      </c>
      <c r="N264" s="6">
        <v>0</v>
      </c>
      <c r="O264" s="6">
        <v>745</v>
      </c>
      <c r="P264" s="6">
        <f t="shared" si="34"/>
        <v>745000</v>
      </c>
      <c r="Q264" s="6">
        <f t="shared" si="35"/>
        <v>37250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f t="shared" si="36"/>
        <v>0</v>
      </c>
      <c r="X264" s="6">
        <f t="shared" si="37"/>
        <v>0</v>
      </c>
      <c r="Y264" s="6">
        <v>0</v>
      </c>
      <c r="Z264" s="6">
        <f t="shared" si="38"/>
        <v>37250</v>
      </c>
      <c r="AA264" s="6" t="str">
        <f t="shared" si="39"/>
        <v xml:space="preserve"> Profit</v>
      </c>
      <c r="AB264" s="5" t="s">
        <v>791</v>
      </c>
      <c r="AC264" s="5" t="s">
        <v>168</v>
      </c>
      <c r="AD264" s="5" t="s">
        <v>43</v>
      </c>
      <c r="AE264" s="5" t="s">
        <v>238</v>
      </c>
      <c r="AF264" s="5" t="s">
        <v>45</v>
      </c>
      <c r="AG264" s="3">
        <v>46079</v>
      </c>
      <c r="AH264" s="3">
        <v>46083</v>
      </c>
    </row>
    <row r="265" spans="1:34" ht="12" customHeight="1">
      <c r="A265" s="3">
        <v>46074</v>
      </c>
      <c r="B265" s="5" t="s">
        <v>792</v>
      </c>
      <c r="C265" s="5" t="s">
        <v>793</v>
      </c>
      <c r="D265" s="5" t="s">
        <v>794</v>
      </c>
      <c r="E265" s="5" t="s">
        <v>712</v>
      </c>
      <c r="F265" s="5" t="str">
        <f t="shared" si="32"/>
        <v>Lentils</v>
      </c>
      <c r="G265" s="5" t="s">
        <v>49</v>
      </c>
      <c r="H265" s="5" t="s">
        <v>39</v>
      </c>
      <c r="I265" s="5" t="s">
        <v>58</v>
      </c>
      <c r="J265" s="6">
        <v>0</v>
      </c>
      <c r="K265" s="6">
        <v>2400</v>
      </c>
      <c r="L265" s="6">
        <v>527.1</v>
      </c>
      <c r="M265" s="6">
        <f t="shared" si="33"/>
        <v>1265040</v>
      </c>
      <c r="N265" s="6">
        <v>0</v>
      </c>
      <c r="O265" s="6">
        <v>502</v>
      </c>
      <c r="P265" s="6">
        <f t="shared" si="34"/>
        <v>1204800</v>
      </c>
      <c r="Q265" s="6">
        <f t="shared" si="35"/>
        <v>60240</v>
      </c>
      <c r="R265" s="6">
        <v>0</v>
      </c>
      <c r="S265" s="6">
        <v>0</v>
      </c>
      <c r="T265" s="6">
        <v>0</v>
      </c>
      <c r="U265" s="6">
        <v>0</v>
      </c>
      <c r="V265" s="6">
        <v>-4145.93</v>
      </c>
      <c r="W265" s="6">
        <f t="shared" si="36"/>
        <v>0</v>
      </c>
      <c r="X265" s="6">
        <f t="shared" si="37"/>
        <v>-4145.93</v>
      </c>
      <c r="Y265" s="6">
        <v>0</v>
      </c>
      <c r="Z265" s="6">
        <f t="shared" si="38"/>
        <v>64385.93</v>
      </c>
      <c r="AA265" s="6" t="str">
        <f t="shared" si="39"/>
        <v xml:space="preserve"> Profit</v>
      </c>
      <c r="AB265" s="5" t="s">
        <v>795</v>
      </c>
      <c r="AC265" s="5" t="s">
        <v>42</v>
      </c>
      <c r="AD265" s="5" t="s">
        <v>43</v>
      </c>
      <c r="AE265" s="5" t="s">
        <v>238</v>
      </c>
      <c r="AF265" s="5" t="s">
        <v>45</v>
      </c>
      <c r="AG265" s="3">
        <v>46080</v>
      </c>
      <c r="AH265" s="3">
        <v>46084</v>
      </c>
    </row>
    <row r="266" spans="1:34" ht="12" customHeight="1">
      <c r="A266" s="3">
        <v>46079</v>
      </c>
      <c r="B266" s="5" t="s">
        <v>796</v>
      </c>
      <c r="C266" s="5" t="s">
        <v>797</v>
      </c>
      <c r="D266" s="5" t="s">
        <v>798</v>
      </c>
      <c r="E266" s="5" t="s">
        <v>712</v>
      </c>
      <c r="F266" s="5" t="str">
        <f t="shared" si="32"/>
        <v>Lentils</v>
      </c>
      <c r="G266" s="5" t="s">
        <v>49</v>
      </c>
      <c r="H266" s="5" t="s">
        <v>39</v>
      </c>
      <c r="I266" s="5" t="s">
        <v>58</v>
      </c>
      <c r="J266" s="6">
        <v>0</v>
      </c>
      <c r="K266" s="6">
        <v>1000</v>
      </c>
      <c r="L266" s="6">
        <v>525</v>
      </c>
      <c r="M266" s="6">
        <f t="shared" si="33"/>
        <v>525000</v>
      </c>
      <c r="N266" s="6">
        <v>0</v>
      </c>
      <c r="O266" s="6">
        <v>500</v>
      </c>
      <c r="P266" s="6">
        <f t="shared" si="34"/>
        <v>500000</v>
      </c>
      <c r="Q266" s="6">
        <f t="shared" si="35"/>
        <v>25000</v>
      </c>
      <c r="R266" s="6">
        <v>0</v>
      </c>
      <c r="S266" s="6">
        <v>0</v>
      </c>
      <c r="T266" s="6">
        <v>0</v>
      </c>
      <c r="U266" s="6">
        <v>0</v>
      </c>
      <c r="V266" s="6">
        <v>622.19000000000005</v>
      </c>
      <c r="W266" s="6">
        <f t="shared" si="36"/>
        <v>0</v>
      </c>
      <c r="X266" s="6">
        <f t="shared" si="37"/>
        <v>622.19000000000005</v>
      </c>
      <c r="Y266" s="6">
        <v>0</v>
      </c>
      <c r="Z266" s="6">
        <f t="shared" si="38"/>
        <v>24377.81</v>
      </c>
      <c r="AA266" s="6" t="str">
        <f t="shared" si="39"/>
        <v xml:space="preserve"> Profit</v>
      </c>
      <c r="AB266" s="5" t="s">
        <v>799</v>
      </c>
      <c r="AC266" s="5" t="s">
        <v>42</v>
      </c>
      <c r="AD266" s="5" t="s">
        <v>43</v>
      </c>
      <c r="AE266" s="5" t="s">
        <v>238</v>
      </c>
      <c r="AF266" s="5" t="s">
        <v>45</v>
      </c>
      <c r="AG266" s="3">
        <v>46085</v>
      </c>
      <c r="AH266" s="3">
        <v>46089</v>
      </c>
    </row>
    <row r="267" spans="1:34" ht="12" customHeight="1">
      <c r="A267" s="3">
        <v>46080</v>
      </c>
      <c r="B267" s="5" t="s">
        <v>800</v>
      </c>
      <c r="C267" s="5" t="s">
        <v>801</v>
      </c>
      <c r="D267" s="5" t="s">
        <v>802</v>
      </c>
      <c r="E267" s="5" t="s">
        <v>712</v>
      </c>
      <c r="F267" s="5" t="str">
        <f t="shared" si="32"/>
        <v>Lentils</v>
      </c>
      <c r="G267" s="5" t="s">
        <v>49</v>
      </c>
      <c r="H267" s="5" t="s">
        <v>101</v>
      </c>
      <c r="I267" s="5" t="s">
        <v>58</v>
      </c>
      <c r="J267" s="6">
        <v>0</v>
      </c>
      <c r="K267" s="6">
        <v>1944</v>
      </c>
      <c r="L267" s="6">
        <v>517.65</v>
      </c>
      <c r="M267" s="6">
        <f t="shared" si="33"/>
        <v>1006311.6</v>
      </c>
      <c r="N267" s="6">
        <v>0</v>
      </c>
      <c r="O267" s="6">
        <v>493</v>
      </c>
      <c r="P267" s="6">
        <f t="shared" si="34"/>
        <v>958392</v>
      </c>
      <c r="Q267" s="6">
        <f t="shared" si="35"/>
        <v>47919.599999999977</v>
      </c>
      <c r="R267" s="6">
        <v>0</v>
      </c>
      <c r="S267" s="6">
        <v>0</v>
      </c>
      <c r="T267" s="6">
        <v>0</v>
      </c>
      <c r="U267" s="6">
        <v>0</v>
      </c>
      <c r="V267" s="6">
        <v>1313.7852</v>
      </c>
      <c r="W267" s="6">
        <f t="shared" si="36"/>
        <v>0</v>
      </c>
      <c r="X267" s="6">
        <f t="shared" si="37"/>
        <v>1313.7852</v>
      </c>
      <c r="Y267" s="6">
        <v>0</v>
      </c>
      <c r="Z267" s="6">
        <f t="shared" si="38"/>
        <v>46605.814799999978</v>
      </c>
      <c r="AA267" s="6" t="str">
        <f t="shared" si="39"/>
        <v xml:space="preserve"> Profit</v>
      </c>
      <c r="AB267" s="5" t="s">
        <v>803</v>
      </c>
      <c r="AC267" s="5" t="s">
        <v>189</v>
      </c>
      <c r="AD267" s="5" t="s">
        <v>67</v>
      </c>
      <c r="AE267" s="5" t="s">
        <v>185</v>
      </c>
      <c r="AF267" s="5" t="s">
        <v>185</v>
      </c>
      <c r="AG267" s="3">
        <v>46086</v>
      </c>
      <c r="AH267" s="3">
        <v>46090</v>
      </c>
    </row>
    <row r="268" spans="1:34" ht="12" customHeight="1">
      <c r="A268" s="3">
        <v>46081</v>
      </c>
      <c r="B268" s="5" t="s">
        <v>804</v>
      </c>
      <c r="C268" s="5" t="s">
        <v>485</v>
      </c>
      <c r="D268" s="5" t="s">
        <v>805</v>
      </c>
      <c r="E268" s="5" t="s">
        <v>712</v>
      </c>
      <c r="F268" s="5" t="str">
        <f t="shared" si="32"/>
        <v>Lentils</v>
      </c>
      <c r="G268" s="5" t="s">
        <v>49</v>
      </c>
      <c r="H268" s="5" t="s">
        <v>39</v>
      </c>
      <c r="I268" s="5" t="s">
        <v>58</v>
      </c>
      <c r="J268" s="6">
        <v>0</v>
      </c>
      <c r="K268" s="6">
        <v>500</v>
      </c>
      <c r="L268" s="6">
        <v>525</v>
      </c>
      <c r="M268" s="6">
        <f t="shared" si="33"/>
        <v>262500</v>
      </c>
      <c r="N268" s="6">
        <v>0</v>
      </c>
      <c r="O268" s="6">
        <v>500</v>
      </c>
      <c r="P268" s="6">
        <f t="shared" si="34"/>
        <v>250000</v>
      </c>
      <c r="Q268" s="6">
        <f t="shared" si="35"/>
        <v>12500</v>
      </c>
      <c r="R268" s="6">
        <v>0</v>
      </c>
      <c r="S268" s="6">
        <v>0</v>
      </c>
      <c r="T268" s="6">
        <v>0</v>
      </c>
      <c r="U268" s="6">
        <v>0</v>
      </c>
      <c r="V268" s="6">
        <v>17.14</v>
      </c>
      <c r="W268" s="6">
        <f t="shared" si="36"/>
        <v>0</v>
      </c>
      <c r="X268" s="6">
        <f t="shared" si="37"/>
        <v>17.14</v>
      </c>
      <c r="Y268" s="6">
        <v>0</v>
      </c>
      <c r="Z268" s="6">
        <f t="shared" si="38"/>
        <v>12482.86</v>
      </c>
      <c r="AA268" s="6" t="str">
        <f t="shared" si="39"/>
        <v xml:space="preserve"> Profit</v>
      </c>
      <c r="AB268" s="5" t="s">
        <v>806</v>
      </c>
      <c r="AC268" s="5" t="s">
        <v>193</v>
      </c>
      <c r="AD268" s="5" t="s">
        <v>67</v>
      </c>
      <c r="AE268" s="5" t="s">
        <v>238</v>
      </c>
      <c r="AF268" s="5" t="s">
        <v>45</v>
      </c>
      <c r="AG268" s="3">
        <v>46087</v>
      </c>
      <c r="AH268" s="3">
        <v>46091</v>
      </c>
    </row>
    <row r="269" spans="1:34" ht="12" customHeight="1">
      <c r="A269" s="3">
        <v>46082</v>
      </c>
      <c r="B269" s="5" t="s">
        <v>807</v>
      </c>
      <c r="C269" s="5" t="s">
        <v>485</v>
      </c>
      <c r="D269" s="5" t="s">
        <v>805</v>
      </c>
      <c r="E269" s="5" t="s">
        <v>712</v>
      </c>
      <c r="F269" s="5" t="str">
        <f t="shared" si="32"/>
        <v>Lentils</v>
      </c>
      <c r="G269" s="5" t="s">
        <v>49</v>
      </c>
      <c r="H269" s="5" t="s">
        <v>39</v>
      </c>
      <c r="I269" s="5" t="s">
        <v>58</v>
      </c>
      <c r="J269" s="6">
        <v>0</v>
      </c>
      <c r="K269" s="6">
        <v>500</v>
      </c>
      <c r="L269" s="6">
        <v>525</v>
      </c>
      <c r="M269" s="6">
        <f t="shared" si="33"/>
        <v>262500</v>
      </c>
      <c r="N269" s="6">
        <v>0</v>
      </c>
      <c r="O269" s="6">
        <v>500</v>
      </c>
      <c r="P269" s="6">
        <f t="shared" si="34"/>
        <v>250000</v>
      </c>
      <c r="Q269" s="6">
        <f t="shared" si="35"/>
        <v>12500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f t="shared" si="36"/>
        <v>0</v>
      </c>
      <c r="X269" s="6">
        <f t="shared" si="37"/>
        <v>0</v>
      </c>
      <c r="Y269" s="6">
        <v>0</v>
      </c>
      <c r="Z269" s="6">
        <f t="shared" si="38"/>
        <v>12500</v>
      </c>
      <c r="AA269" s="6" t="str">
        <f t="shared" si="39"/>
        <v xml:space="preserve"> Profit</v>
      </c>
      <c r="AB269" s="5" t="s">
        <v>808</v>
      </c>
      <c r="AC269" s="5" t="s">
        <v>66</v>
      </c>
      <c r="AD269" s="5" t="s">
        <v>67</v>
      </c>
      <c r="AE269" s="5" t="s">
        <v>238</v>
      </c>
      <c r="AF269" s="5" t="s">
        <v>45</v>
      </c>
      <c r="AG269" s="3">
        <v>46088</v>
      </c>
      <c r="AH269" s="3">
        <v>46092</v>
      </c>
    </row>
    <row r="270" spans="1:34" ht="12" customHeight="1">
      <c r="A270" s="3">
        <v>46083</v>
      </c>
      <c r="B270" s="5" t="s">
        <v>809</v>
      </c>
      <c r="C270" s="5" t="s">
        <v>485</v>
      </c>
      <c r="D270" s="5" t="s">
        <v>805</v>
      </c>
      <c r="E270" s="5" t="s">
        <v>712</v>
      </c>
      <c r="F270" s="5" t="str">
        <f t="shared" si="32"/>
        <v>Lentils</v>
      </c>
      <c r="G270" s="5" t="s">
        <v>49</v>
      </c>
      <c r="H270" s="5" t="s">
        <v>39</v>
      </c>
      <c r="I270" s="5" t="s">
        <v>58</v>
      </c>
      <c r="J270" s="6">
        <v>0</v>
      </c>
      <c r="K270" s="6">
        <v>500</v>
      </c>
      <c r="L270" s="6">
        <v>525</v>
      </c>
      <c r="M270" s="6">
        <f t="shared" si="33"/>
        <v>262500</v>
      </c>
      <c r="N270" s="6">
        <v>0</v>
      </c>
      <c r="O270" s="6">
        <v>500</v>
      </c>
      <c r="P270" s="6">
        <f t="shared" si="34"/>
        <v>250000</v>
      </c>
      <c r="Q270" s="6">
        <f t="shared" si="35"/>
        <v>12500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f t="shared" si="36"/>
        <v>0</v>
      </c>
      <c r="X270" s="6">
        <f t="shared" si="37"/>
        <v>0</v>
      </c>
      <c r="Y270" s="6">
        <v>0</v>
      </c>
      <c r="Z270" s="6">
        <f t="shared" si="38"/>
        <v>12500</v>
      </c>
      <c r="AA270" s="6" t="str">
        <f t="shared" si="39"/>
        <v xml:space="preserve"> Profit</v>
      </c>
      <c r="AB270" s="5" t="s">
        <v>810</v>
      </c>
      <c r="AC270" s="5" t="s">
        <v>82</v>
      </c>
      <c r="AD270" s="5" t="s">
        <v>88</v>
      </c>
      <c r="AE270" s="5" t="s">
        <v>770</v>
      </c>
      <c r="AF270" s="5" t="s">
        <v>771</v>
      </c>
      <c r="AG270" s="3">
        <v>46089</v>
      </c>
      <c r="AH270" s="3">
        <v>46093</v>
      </c>
    </row>
    <row r="271" spans="1:34" ht="12" customHeight="1">
      <c r="A271" s="3">
        <v>46086</v>
      </c>
      <c r="B271" s="5" t="s">
        <v>811</v>
      </c>
      <c r="C271" s="5" t="s">
        <v>485</v>
      </c>
      <c r="D271" s="5" t="s">
        <v>805</v>
      </c>
      <c r="E271" s="5" t="s">
        <v>712</v>
      </c>
      <c r="F271" s="5" t="str">
        <f t="shared" si="32"/>
        <v>Lentils</v>
      </c>
      <c r="G271" s="5" t="s">
        <v>49</v>
      </c>
      <c r="H271" s="5" t="s">
        <v>39</v>
      </c>
      <c r="I271" s="5" t="s">
        <v>58</v>
      </c>
      <c r="J271" s="6">
        <v>0</v>
      </c>
      <c r="K271" s="6">
        <v>500</v>
      </c>
      <c r="L271" s="6">
        <v>525</v>
      </c>
      <c r="M271" s="6">
        <f t="shared" si="33"/>
        <v>262500</v>
      </c>
      <c r="N271" s="6">
        <v>0</v>
      </c>
      <c r="O271" s="6">
        <v>500</v>
      </c>
      <c r="P271" s="6">
        <f t="shared" si="34"/>
        <v>250000</v>
      </c>
      <c r="Q271" s="6">
        <f t="shared" si="35"/>
        <v>12500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f t="shared" si="36"/>
        <v>0</v>
      </c>
      <c r="X271" s="6">
        <f t="shared" si="37"/>
        <v>0</v>
      </c>
      <c r="Y271" s="6">
        <v>0</v>
      </c>
      <c r="Z271" s="6">
        <f t="shared" si="38"/>
        <v>12500</v>
      </c>
      <c r="AA271" s="6" t="str">
        <f t="shared" si="39"/>
        <v xml:space="preserve"> Profit</v>
      </c>
      <c r="AB271" s="5" t="s">
        <v>812</v>
      </c>
      <c r="AC271" s="5" t="s">
        <v>82</v>
      </c>
      <c r="AD271" s="5" t="s">
        <v>88</v>
      </c>
      <c r="AE271" s="5" t="s">
        <v>770</v>
      </c>
      <c r="AF271" s="5" t="s">
        <v>771</v>
      </c>
      <c r="AG271" s="3">
        <v>46092</v>
      </c>
      <c r="AH271" s="3">
        <v>46096</v>
      </c>
    </row>
    <row r="272" spans="1:34" ht="12" customHeight="1">
      <c r="A272" s="3">
        <v>46091</v>
      </c>
      <c r="B272" s="5" t="s">
        <v>813</v>
      </c>
      <c r="C272" s="5" t="s">
        <v>418</v>
      </c>
      <c r="D272" s="5" t="s">
        <v>814</v>
      </c>
      <c r="E272" s="5" t="s">
        <v>712</v>
      </c>
      <c r="F272" s="5" t="str">
        <f t="shared" si="32"/>
        <v>Lentils</v>
      </c>
      <c r="G272" s="5" t="s">
        <v>49</v>
      </c>
      <c r="H272" s="5" t="s">
        <v>754</v>
      </c>
      <c r="I272" s="5" t="s">
        <v>58</v>
      </c>
      <c r="J272" s="6">
        <v>0</v>
      </c>
      <c r="K272" s="6">
        <v>1000</v>
      </c>
      <c r="L272" s="6">
        <v>549.15</v>
      </c>
      <c r="M272" s="6">
        <f t="shared" si="33"/>
        <v>549150</v>
      </c>
      <c r="N272" s="6">
        <v>0</v>
      </c>
      <c r="O272" s="6">
        <v>523</v>
      </c>
      <c r="P272" s="6">
        <f t="shared" si="34"/>
        <v>523000</v>
      </c>
      <c r="Q272" s="6">
        <f t="shared" si="35"/>
        <v>26150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f t="shared" si="36"/>
        <v>0</v>
      </c>
      <c r="X272" s="6">
        <f t="shared" si="37"/>
        <v>0</v>
      </c>
      <c r="Y272" s="6">
        <v>0</v>
      </c>
      <c r="Z272" s="6">
        <f t="shared" si="38"/>
        <v>26150</v>
      </c>
      <c r="AA272" s="6" t="str">
        <f t="shared" si="39"/>
        <v xml:space="preserve"> Profit</v>
      </c>
      <c r="AB272" s="5" t="s">
        <v>815</v>
      </c>
      <c r="AC272" s="5" t="s">
        <v>168</v>
      </c>
      <c r="AD272" s="5" t="s">
        <v>43</v>
      </c>
      <c r="AE272" s="5" t="s">
        <v>238</v>
      </c>
      <c r="AF272" s="5" t="s">
        <v>45</v>
      </c>
      <c r="AG272" s="3">
        <v>46097</v>
      </c>
      <c r="AH272" s="3">
        <v>46101</v>
      </c>
    </row>
    <row r="273" spans="1:34" ht="12" customHeight="1">
      <c r="A273" s="3">
        <v>46094</v>
      </c>
      <c r="B273" s="5" t="s">
        <v>816</v>
      </c>
      <c r="C273" s="5" t="s">
        <v>418</v>
      </c>
      <c r="D273" s="5" t="s">
        <v>814</v>
      </c>
      <c r="E273" s="5" t="s">
        <v>712</v>
      </c>
      <c r="F273" s="5" t="str">
        <f t="shared" si="32"/>
        <v>Lentils</v>
      </c>
      <c r="G273" s="5" t="s">
        <v>49</v>
      </c>
      <c r="H273" s="5" t="s">
        <v>754</v>
      </c>
      <c r="I273" s="5" t="s">
        <v>58</v>
      </c>
      <c r="J273" s="6">
        <v>0</v>
      </c>
      <c r="K273" s="6">
        <v>1000</v>
      </c>
      <c r="L273" s="6">
        <v>549.15</v>
      </c>
      <c r="M273" s="6">
        <f t="shared" si="33"/>
        <v>549150</v>
      </c>
      <c r="N273" s="6">
        <v>0</v>
      </c>
      <c r="O273" s="6">
        <v>523</v>
      </c>
      <c r="P273" s="6">
        <f t="shared" si="34"/>
        <v>523000</v>
      </c>
      <c r="Q273" s="6">
        <f t="shared" si="35"/>
        <v>26150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f t="shared" si="36"/>
        <v>0</v>
      </c>
      <c r="X273" s="6">
        <f t="shared" si="37"/>
        <v>0</v>
      </c>
      <c r="Y273" s="6">
        <v>0</v>
      </c>
      <c r="Z273" s="6">
        <f t="shared" si="38"/>
        <v>26150</v>
      </c>
      <c r="AA273" s="6" t="str">
        <f t="shared" si="39"/>
        <v xml:space="preserve"> Profit</v>
      </c>
      <c r="AB273" s="5" t="s">
        <v>817</v>
      </c>
      <c r="AC273" s="5" t="s">
        <v>211</v>
      </c>
      <c r="AD273" s="5" t="s">
        <v>212</v>
      </c>
      <c r="AE273" s="5" t="s">
        <v>770</v>
      </c>
      <c r="AF273" s="5" t="s">
        <v>771</v>
      </c>
      <c r="AG273" s="3">
        <v>46100</v>
      </c>
      <c r="AH273" s="3">
        <v>46104</v>
      </c>
    </row>
    <row r="274" spans="1:34" ht="12" customHeight="1">
      <c r="A274" s="3">
        <v>46095</v>
      </c>
      <c r="B274" s="5" t="s">
        <v>818</v>
      </c>
      <c r="C274" s="5" t="s">
        <v>422</v>
      </c>
      <c r="D274" s="5" t="s">
        <v>819</v>
      </c>
      <c r="E274" s="5" t="s">
        <v>712</v>
      </c>
      <c r="F274" s="5" t="str">
        <f t="shared" si="32"/>
        <v>Lentils</v>
      </c>
      <c r="G274" s="5" t="s">
        <v>49</v>
      </c>
      <c r="H274" s="5" t="s">
        <v>57</v>
      </c>
      <c r="I274" s="5" t="s">
        <v>58</v>
      </c>
      <c r="J274" s="6">
        <v>0</v>
      </c>
      <c r="K274" s="6">
        <v>500</v>
      </c>
      <c r="L274" s="6">
        <v>554.4</v>
      </c>
      <c r="M274" s="6">
        <f t="shared" si="33"/>
        <v>277200</v>
      </c>
      <c r="N274" s="6">
        <v>0</v>
      </c>
      <c r="O274" s="6">
        <v>528</v>
      </c>
      <c r="P274" s="6">
        <f t="shared" si="34"/>
        <v>264000</v>
      </c>
      <c r="Q274" s="6">
        <f t="shared" si="35"/>
        <v>13200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f t="shared" si="36"/>
        <v>0</v>
      </c>
      <c r="X274" s="6">
        <f t="shared" si="37"/>
        <v>0</v>
      </c>
      <c r="Y274" s="6">
        <v>0</v>
      </c>
      <c r="Z274" s="6">
        <f t="shared" si="38"/>
        <v>13200</v>
      </c>
      <c r="AA274" s="6" t="str">
        <f t="shared" si="39"/>
        <v xml:space="preserve"> Profit</v>
      </c>
      <c r="AB274" s="5" t="s">
        <v>820</v>
      </c>
      <c r="AC274" s="5" t="s">
        <v>714</v>
      </c>
      <c r="AD274" s="5" t="s">
        <v>345</v>
      </c>
      <c r="AE274" s="5" t="s">
        <v>67</v>
      </c>
      <c r="AF274" s="5" t="s">
        <v>146</v>
      </c>
      <c r="AG274" s="3">
        <v>46101</v>
      </c>
      <c r="AH274" s="3">
        <v>46105</v>
      </c>
    </row>
    <row r="275" spans="1:34" ht="12" customHeight="1">
      <c r="A275" s="3">
        <v>46098</v>
      </c>
      <c r="B275" s="5" t="s">
        <v>821</v>
      </c>
      <c r="C275" s="5" t="s">
        <v>422</v>
      </c>
      <c r="D275" s="5" t="s">
        <v>819</v>
      </c>
      <c r="E275" s="5" t="s">
        <v>712</v>
      </c>
      <c r="F275" s="5" t="str">
        <f t="shared" si="32"/>
        <v>Lentils</v>
      </c>
      <c r="G275" s="5" t="s">
        <v>49</v>
      </c>
      <c r="H275" s="5" t="s">
        <v>57</v>
      </c>
      <c r="I275" s="5" t="s">
        <v>58</v>
      </c>
      <c r="J275" s="6">
        <v>0</v>
      </c>
      <c r="K275" s="6">
        <v>500</v>
      </c>
      <c r="L275" s="6">
        <v>554.4</v>
      </c>
      <c r="M275" s="6">
        <f t="shared" si="33"/>
        <v>277200</v>
      </c>
      <c r="N275" s="6">
        <v>0</v>
      </c>
      <c r="O275" s="6">
        <v>528</v>
      </c>
      <c r="P275" s="6">
        <f t="shared" si="34"/>
        <v>264000</v>
      </c>
      <c r="Q275" s="6">
        <f t="shared" si="35"/>
        <v>13200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f t="shared" si="36"/>
        <v>0</v>
      </c>
      <c r="X275" s="6">
        <f t="shared" si="37"/>
        <v>0</v>
      </c>
      <c r="Y275" s="6">
        <v>0</v>
      </c>
      <c r="Z275" s="6">
        <f t="shared" si="38"/>
        <v>13200</v>
      </c>
      <c r="AA275" s="6" t="str">
        <f t="shared" si="39"/>
        <v xml:space="preserve"> Profit</v>
      </c>
      <c r="AB275" s="5" t="s">
        <v>822</v>
      </c>
      <c r="AC275" s="5" t="s">
        <v>714</v>
      </c>
      <c r="AD275" s="5" t="s">
        <v>345</v>
      </c>
      <c r="AE275" s="5" t="s">
        <v>67</v>
      </c>
      <c r="AF275" s="5" t="s">
        <v>146</v>
      </c>
      <c r="AG275" s="3">
        <v>46104</v>
      </c>
      <c r="AH275" s="3">
        <v>46108</v>
      </c>
    </row>
    <row r="276" spans="1:34" ht="12" customHeight="1">
      <c r="A276" s="3">
        <v>46099</v>
      </c>
      <c r="B276" s="5" t="s">
        <v>823</v>
      </c>
      <c r="C276" s="5" t="s">
        <v>422</v>
      </c>
      <c r="D276" s="5" t="s">
        <v>819</v>
      </c>
      <c r="E276" s="5" t="s">
        <v>712</v>
      </c>
      <c r="F276" s="5" t="str">
        <f t="shared" si="32"/>
        <v>Lentils</v>
      </c>
      <c r="G276" s="5" t="s">
        <v>49</v>
      </c>
      <c r="H276" s="5" t="s">
        <v>57</v>
      </c>
      <c r="I276" s="5" t="s">
        <v>58</v>
      </c>
      <c r="J276" s="6">
        <v>0</v>
      </c>
      <c r="K276" s="6">
        <v>500</v>
      </c>
      <c r="L276" s="6">
        <v>554.4</v>
      </c>
      <c r="M276" s="6">
        <f t="shared" si="33"/>
        <v>277200</v>
      </c>
      <c r="N276" s="6">
        <v>0</v>
      </c>
      <c r="O276" s="6">
        <v>528</v>
      </c>
      <c r="P276" s="6">
        <f t="shared" si="34"/>
        <v>264000</v>
      </c>
      <c r="Q276" s="6">
        <f t="shared" si="35"/>
        <v>13200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f t="shared" si="36"/>
        <v>0</v>
      </c>
      <c r="X276" s="6">
        <f t="shared" si="37"/>
        <v>0</v>
      </c>
      <c r="Y276" s="6">
        <v>0</v>
      </c>
      <c r="Z276" s="6">
        <f t="shared" si="38"/>
        <v>13200</v>
      </c>
      <c r="AA276" s="6" t="str">
        <f t="shared" si="39"/>
        <v xml:space="preserve"> Profit</v>
      </c>
      <c r="AB276" s="5" t="s">
        <v>824</v>
      </c>
      <c r="AC276" s="5" t="s">
        <v>714</v>
      </c>
      <c r="AD276" s="5" t="s">
        <v>345</v>
      </c>
      <c r="AE276" s="5" t="s">
        <v>67</v>
      </c>
      <c r="AF276" s="5" t="s">
        <v>146</v>
      </c>
      <c r="AG276" s="3">
        <v>46105</v>
      </c>
      <c r="AH276" s="3">
        <v>46109</v>
      </c>
    </row>
    <row r="277" spans="1:34" ht="12" customHeight="1">
      <c r="A277" s="3">
        <v>46110</v>
      </c>
      <c r="B277" s="5" t="s">
        <v>825</v>
      </c>
      <c r="C277" s="5" t="s">
        <v>422</v>
      </c>
      <c r="D277" s="5" t="s">
        <v>819</v>
      </c>
      <c r="E277" s="5" t="s">
        <v>712</v>
      </c>
      <c r="F277" s="5" t="str">
        <f t="shared" si="32"/>
        <v>Lentils</v>
      </c>
      <c r="G277" s="5" t="s">
        <v>49</v>
      </c>
      <c r="H277" s="5" t="s">
        <v>57</v>
      </c>
      <c r="I277" s="5" t="s">
        <v>58</v>
      </c>
      <c r="J277" s="6">
        <v>0</v>
      </c>
      <c r="K277" s="6">
        <v>600</v>
      </c>
      <c r="L277" s="6">
        <v>554.4</v>
      </c>
      <c r="M277" s="6">
        <f t="shared" si="33"/>
        <v>332640</v>
      </c>
      <c r="N277" s="6">
        <v>0</v>
      </c>
      <c r="O277" s="6">
        <v>528</v>
      </c>
      <c r="P277" s="6">
        <f t="shared" si="34"/>
        <v>316800</v>
      </c>
      <c r="Q277" s="6">
        <f t="shared" si="35"/>
        <v>15840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f t="shared" si="36"/>
        <v>0</v>
      </c>
      <c r="X277" s="6">
        <f t="shared" si="37"/>
        <v>0</v>
      </c>
      <c r="Y277" s="6">
        <v>0</v>
      </c>
      <c r="Z277" s="6">
        <f t="shared" si="38"/>
        <v>15840</v>
      </c>
      <c r="AA277" s="6" t="str">
        <f t="shared" si="39"/>
        <v xml:space="preserve"> Profit</v>
      </c>
      <c r="AB277" s="5" t="s">
        <v>826</v>
      </c>
      <c r="AC277" s="5" t="s">
        <v>714</v>
      </c>
      <c r="AD277" s="5" t="s">
        <v>345</v>
      </c>
      <c r="AE277" s="5" t="s">
        <v>67</v>
      </c>
      <c r="AF277" s="5" t="s">
        <v>146</v>
      </c>
      <c r="AG277" s="3">
        <v>46116</v>
      </c>
      <c r="AH277" s="3">
        <v>46120</v>
      </c>
    </row>
    <row r="278" spans="1:34" ht="12" customHeight="1">
      <c r="A278" s="3">
        <v>46111</v>
      </c>
      <c r="B278" s="5" t="s">
        <v>827</v>
      </c>
      <c r="C278" s="5" t="s">
        <v>719</v>
      </c>
      <c r="D278" s="5" t="s">
        <v>828</v>
      </c>
      <c r="E278" s="5" t="s">
        <v>100</v>
      </c>
      <c r="F278" s="5" t="str">
        <f t="shared" si="32"/>
        <v>Cloves</v>
      </c>
      <c r="G278" s="5" t="s">
        <v>49</v>
      </c>
      <c r="H278" s="5" t="s">
        <v>57</v>
      </c>
      <c r="I278" s="5" t="s">
        <v>58</v>
      </c>
      <c r="J278" s="6">
        <v>1</v>
      </c>
      <c r="K278" s="6">
        <v>25</v>
      </c>
      <c r="L278" s="6">
        <v>7192.5</v>
      </c>
      <c r="M278" s="6">
        <f t="shared" si="33"/>
        <v>179812.5</v>
      </c>
      <c r="N278" s="6">
        <v>0</v>
      </c>
      <c r="O278" s="6">
        <v>6850</v>
      </c>
      <c r="P278" s="6">
        <f t="shared" si="34"/>
        <v>171250</v>
      </c>
      <c r="Q278" s="6">
        <f t="shared" si="35"/>
        <v>8562.5</v>
      </c>
      <c r="R278" s="6">
        <v>0</v>
      </c>
      <c r="S278" s="6">
        <v>0</v>
      </c>
      <c r="T278" s="6">
        <v>0</v>
      </c>
      <c r="U278" s="6">
        <v>0</v>
      </c>
      <c r="V278" s="6">
        <v>32.938600000000001</v>
      </c>
      <c r="W278" s="6">
        <f t="shared" si="36"/>
        <v>0</v>
      </c>
      <c r="X278" s="6">
        <f t="shared" si="37"/>
        <v>32.938600000000001</v>
      </c>
      <c r="Y278" s="6">
        <v>0</v>
      </c>
      <c r="Z278" s="6">
        <f t="shared" si="38"/>
        <v>8529.5614000000005</v>
      </c>
      <c r="AA278" s="6" t="str">
        <f t="shared" si="39"/>
        <v xml:space="preserve"> Profit</v>
      </c>
      <c r="AB278" s="5" t="s">
        <v>829</v>
      </c>
      <c r="AC278" s="5" t="s">
        <v>193</v>
      </c>
      <c r="AD278" s="5" t="s">
        <v>67</v>
      </c>
      <c r="AE278" s="5" t="s">
        <v>238</v>
      </c>
      <c r="AF278" s="5" t="s">
        <v>45</v>
      </c>
      <c r="AG278" s="3">
        <v>46117</v>
      </c>
      <c r="AH278" s="3">
        <v>46121</v>
      </c>
    </row>
    <row r="279" spans="1:34" ht="12" customHeight="1">
      <c r="A279" s="3">
        <v>46112</v>
      </c>
      <c r="B279" s="5" t="s">
        <v>830</v>
      </c>
      <c r="C279" s="5" t="s">
        <v>440</v>
      </c>
      <c r="D279" s="5" t="s">
        <v>831</v>
      </c>
      <c r="E279" s="5" t="s">
        <v>832</v>
      </c>
      <c r="F279" s="5" t="str">
        <f t="shared" si="32"/>
        <v>Sunflower</v>
      </c>
      <c r="G279" s="5" t="s">
        <v>729</v>
      </c>
      <c r="H279" s="5" t="s">
        <v>57</v>
      </c>
      <c r="I279" s="5" t="s">
        <v>58</v>
      </c>
      <c r="J279" s="6">
        <v>5</v>
      </c>
      <c r="K279" s="6">
        <v>16228</v>
      </c>
      <c r="L279" s="6">
        <v>19.477499999999999</v>
      </c>
      <c r="M279" s="6">
        <f t="shared" si="33"/>
        <v>316080.87</v>
      </c>
      <c r="N279" s="6">
        <v>0</v>
      </c>
      <c r="O279" s="6">
        <v>18.55</v>
      </c>
      <c r="P279" s="6">
        <f t="shared" si="34"/>
        <v>301029.40000000002</v>
      </c>
      <c r="Q279" s="6">
        <f t="shared" si="35"/>
        <v>15051.469999999972</v>
      </c>
      <c r="R279" s="6">
        <v>0</v>
      </c>
      <c r="S279" s="6">
        <v>0</v>
      </c>
      <c r="T279" s="6">
        <v>0</v>
      </c>
      <c r="U279" s="6">
        <v>0</v>
      </c>
      <c r="V279" s="6">
        <v>14.4</v>
      </c>
      <c r="W279" s="6">
        <f t="shared" si="36"/>
        <v>0</v>
      </c>
      <c r="X279" s="6">
        <f t="shared" si="37"/>
        <v>14.4</v>
      </c>
      <c r="Y279" s="6">
        <v>0</v>
      </c>
      <c r="Z279" s="6">
        <f t="shared" si="38"/>
        <v>15037.069999999972</v>
      </c>
      <c r="AA279" s="6" t="str">
        <f t="shared" si="39"/>
        <v xml:space="preserve"> Profit</v>
      </c>
      <c r="AB279" s="5" t="s">
        <v>833</v>
      </c>
      <c r="AC279" s="5" t="s">
        <v>82</v>
      </c>
      <c r="AD279" s="5" t="s">
        <v>88</v>
      </c>
      <c r="AE279" s="5" t="s">
        <v>770</v>
      </c>
      <c r="AF279" s="5" t="s">
        <v>771</v>
      </c>
      <c r="AG279" s="3">
        <v>46118</v>
      </c>
      <c r="AH279" s="3">
        <v>46122</v>
      </c>
    </row>
    <row r="280" spans="1:34" ht="12" customHeight="1">
      <c r="A280" s="3">
        <v>46115</v>
      </c>
      <c r="B280" s="5" t="s">
        <v>834</v>
      </c>
      <c r="C280" s="5" t="s">
        <v>835</v>
      </c>
      <c r="D280" s="5" t="s">
        <v>836</v>
      </c>
      <c r="E280" s="5" t="s">
        <v>37</v>
      </c>
      <c r="F280" s="5" t="str">
        <f t="shared" si="32"/>
        <v>Sugar</v>
      </c>
      <c r="G280" s="5" t="s">
        <v>49</v>
      </c>
      <c r="H280" s="5" t="s">
        <v>39</v>
      </c>
      <c r="I280" s="5" t="s">
        <v>40</v>
      </c>
      <c r="J280" s="6">
        <v>0</v>
      </c>
      <c r="K280" s="6">
        <v>1000</v>
      </c>
      <c r="L280" s="6">
        <v>501.9</v>
      </c>
      <c r="M280" s="6">
        <f t="shared" si="33"/>
        <v>501900</v>
      </c>
      <c r="N280" s="6">
        <v>22032</v>
      </c>
      <c r="O280" s="6">
        <v>478</v>
      </c>
      <c r="P280" s="6">
        <f t="shared" si="34"/>
        <v>478000</v>
      </c>
      <c r="Q280" s="6">
        <f t="shared" si="35"/>
        <v>23900</v>
      </c>
      <c r="R280" s="6">
        <v>54000</v>
      </c>
      <c r="S280" s="6">
        <v>1000</v>
      </c>
      <c r="T280" s="6">
        <v>538.47</v>
      </c>
      <c r="U280" s="6">
        <v>172.8</v>
      </c>
      <c r="V280" s="6">
        <v>17.14</v>
      </c>
      <c r="W280" s="6">
        <f t="shared" si="36"/>
        <v>22032</v>
      </c>
      <c r="X280" s="6">
        <f t="shared" si="37"/>
        <v>55728.41</v>
      </c>
      <c r="Y280" s="6">
        <v>0</v>
      </c>
      <c r="Z280" s="6">
        <f t="shared" si="38"/>
        <v>-9796.4100000000035</v>
      </c>
      <c r="AA280" s="6" t="str">
        <f t="shared" si="39"/>
        <v xml:space="preserve"> Loss</v>
      </c>
      <c r="AB280" s="5" t="s">
        <v>837</v>
      </c>
      <c r="AC280" s="5" t="s">
        <v>42</v>
      </c>
      <c r="AD280" s="5" t="s">
        <v>43</v>
      </c>
      <c r="AE280" s="5" t="s">
        <v>238</v>
      </c>
      <c r="AF280" s="5" t="s">
        <v>45</v>
      </c>
      <c r="AG280" s="3">
        <v>46121</v>
      </c>
      <c r="AH280" s="3">
        <v>46125</v>
      </c>
    </row>
    <row r="281" spans="1:34" ht="12" customHeight="1">
      <c r="A281" s="3">
        <v>46116</v>
      </c>
      <c r="B281" s="5" t="s">
        <v>838</v>
      </c>
      <c r="C281" s="5" t="s">
        <v>839</v>
      </c>
      <c r="D281" s="5" t="s">
        <v>840</v>
      </c>
      <c r="E281" s="5" t="s">
        <v>37</v>
      </c>
      <c r="F281" s="5" t="str">
        <f t="shared" si="32"/>
        <v>Sugar</v>
      </c>
      <c r="G281" s="5" t="s">
        <v>256</v>
      </c>
      <c r="H281" s="5" t="s">
        <v>39</v>
      </c>
      <c r="I281" s="5" t="s">
        <v>40</v>
      </c>
      <c r="J281" s="6">
        <v>0</v>
      </c>
      <c r="K281" s="6">
        <v>1000</v>
      </c>
      <c r="L281" s="6">
        <v>468.82499999999999</v>
      </c>
      <c r="M281" s="6">
        <f t="shared" si="33"/>
        <v>468825</v>
      </c>
      <c r="N281" s="6">
        <v>22032</v>
      </c>
      <c r="O281" s="6">
        <v>446.5</v>
      </c>
      <c r="P281" s="6">
        <f t="shared" si="34"/>
        <v>446500</v>
      </c>
      <c r="Q281" s="6">
        <f t="shared" si="35"/>
        <v>22325</v>
      </c>
      <c r="R281" s="6">
        <v>54000</v>
      </c>
      <c r="S281" s="6">
        <v>1050</v>
      </c>
      <c r="T281" s="6">
        <v>510.5</v>
      </c>
      <c r="U281" s="6">
        <v>172.8</v>
      </c>
      <c r="V281" s="6">
        <v>0</v>
      </c>
      <c r="W281" s="6">
        <f t="shared" si="36"/>
        <v>22032</v>
      </c>
      <c r="X281" s="6">
        <f t="shared" si="37"/>
        <v>55733.3</v>
      </c>
      <c r="Y281" s="6">
        <v>0</v>
      </c>
      <c r="Z281" s="6">
        <f t="shared" si="38"/>
        <v>-11376.300000000003</v>
      </c>
      <c r="AA281" s="6" t="str">
        <f t="shared" si="39"/>
        <v xml:space="preserve"> Loss</v>
      </c>
      <c r="AB281" s="5" t="s">
        <v>841</v>
      </c>
      <c r="AC281" s="5" t="s">
        <v>42</v>
      </c>
      <c r="AD281" s="5" t="s">
        <v>43</v>
      </c>
      <c r="AE281" s="5" t="s">
        <v>238</v>
      </c>
      <c r="AF281" s="5" t="s">
        <v>45</v>
      </c>
      <c r="AG281" s="3">
        <v>46122</v>
      </c>
      <c r="AH281" s="3">
        <v>46126</v>
      </c>
    </row>
    <row r="282" spans="1:34" ht="12" customHeight="1">
      <c r="A282" s="3">
        <v>46120</v>
      </c>
      <c r="B282" s="5" t="s">
        <v>842</v>
      </c>
      <c r="C282" s="5" t="s">
        <v>843</v>
      </c>
      <c r="D282" s="5" t="s">
        <v>840</v>
      </c>
      <c r="E282" s="5" t="s">
        <v>37</v>
      </c>
      <c r="F282" s="5" t="str">
        <f t="shared" si="32"/>
        <v>Sugar</v>
      </c>
      <c r="G282" s="5" t="s">
        <v>729</v>
      </c>
      <c r="H282" s="5" t="s">
        <v>39</v>
      </c>
      <c r="I282" s="5" t="s">
        <v>40</v>
      </c>
      <c r="J282" s="6">
        <v>0</v>
      </c>
      <c r="K282" s="6">
        <v>1050</v>
      </c>
      <c r="L282" s="6">
        <v>481.15199999999999</v>
      </c>
      <c r="M282" s="6">
        <f t="shared" si="33"/>
        <v>505209.59999999998</v>
      </c>
      <c r="N282" s="6">
        <v>29154.757001999998</v>
      </c>
      <c r="O282" s="6">
        <v>458.24</v>
      </c>
      <c r="P282" s="6">
        <f t="shared" si="34"/>
        <v>481152</v>
      </c>
      <c r="Q282" s="6">
        <f t="shared" si="35"/>
        <v>24057.599999999977</v>
      </c>
      <c r="R282" s="6">
        <v>71457.737899999993</v>
      </c>
      <c r="S282" s="6">
        <v>1000</v>
      </c>
      <c r="T282" s="6">
        <v>540.23800000000006</v>
      </c>
      <c r="U282" s="6">
        <v>228.66480000000001</v>
      </c>
      <c r="V282" s="6">
        <v>74.319999999999993</v>
      </c>
      <c r="W282" s="6">
        <f t="shared" si="36"/>
        <v>29154.757001999998</v>
      </c>
      <c r="X282" s="6">
        <f t="shared" si="37"/>
        <v>73300.960699999996</v>
      </c>
      <c r="Y282" s="6">
        <v>0</v>
      </c>
      <c r="Z282" s="6">
        <f t="shared" si="38"/>
        <v>-20088.603698000021</v>
      </c>
      <c r="AA282" s="6" t="str">
        <f t="shared" si="39"/>
        <v xml:space="preserve"> Loss</v>
      </c>
      <c r="AB282" s="5" t="s">
        <v>844</v>
      </c>
      <c r="AC282" s="5" t="s">
        <v>42</v>
      </c>
      <c r="AD282" s="5" t="s">
        <v>43</v>
      </c>
      <c r="AE282" s="5" t="s">
        <v>238</v>
      </c>
      <c r="AF282" s="5" t="s">
        <v>45</v>
      </c>
      <c r="AG282" s="3">
        <v>46126</v>
      </c>
      <c r="AH282" s="3">
        <v>46130</v>
      </c>
    </row>
    <row r="283" spans="1:34" ht="12" customHeight="1">
      <c r="A283" s="3">
        <v>46121</v>
      </c>
      <c r="B283" s="5" t="s">
        <v>845</v>
      </c>
      <c r="C283" s="5" t="s">
        <v>846</v>
      </c>
      <c r="D283" s="5" t="s">
        <v>847</v>
      </c>
      <c r="E283" s="5" t="s">
        <v>37</v>
      </c>
      <c r="F283" s="5" t="str">
        <f t="shared" si="32"/>
        <v>Sugar</v>
      </c>
      <c r="G283" s="5" t="s">
        <v>38</v>
      </c>
      <c r="H283" s="5" t="s">
        <v>39</v>
      </c>
      <c r="I283" s="5" t="s">
        <v>40</v>
      </c>
      <c r="J283" s="6">
        <v>0</v>
      </c>
      <c r="K283" s="6">
        <v>1000</v>
      </c>
      <c r="L283" s="6">
        <v>501.9</v>
      </c>
      <c r="M283" s="6">
        <f t="shared" si="33"/>
        <v>501900</v>
      </c>
      <c r="N283" s="6">
        <v>42432</v>
      </c>
      <c r="O283" s="6">
        <v>478</v>
      </c>
      <c r="P283" s="6">
        <f t="shared" si="34"/>
        <v>478000</v>
      </c>
      <c r="Q283" s="6">
        <f t="shared" si="35"/>
        <v>23900</v>
      </c>
      <c r="R283" s="6">
        <v>104000</v>
      </c>
      <c r="S283" s="6">
        <v>390</v>
      </c>
      <c r="T283" s="6">
        <v>543.9</v>
      </c>
      <c r="U283" s="6">
        <v>332.8</v>
      </c>
      <c r="V283" s="6">
        <v>27387.14</v>
      </c>
      <c r="W283" s="6">
        <f t="shared" si="36"/>
        <v>42432</v>
      </c>
      <c r="X283" s="6">
        <f t="shared" si="37"/>
        <v>132653.84</v>
      </c>
      <c r="Y283" s="6">
        <v>0</v>
      </c>
      <c r="Z283" s="6">
        <f t="shared" si="38"/>
        <v>-66321.84</v>
      </c>
      <c r="AA283" s="6" t="str">
        <f t="shared" si="39"/>
        <v xml:space="preserve"> Loss</v>
      </c>
      <c r="AB283" s="5" t="s">
        <v>848</v>
      </c>
      <c r="AC283" s="5" t="s">
        <v>77</v>
      </c>
      <c r="AD283" s="5" t="s">
        <v>67</v>
      </c>
      <c r="AE283" s="5" t="s">
        <v>238</v>
      </c>
      <c r="AF283" s="5" t="s">
        <v>45</v>
      </c>
      <c r="AG283" s="3">
        <v>46127</v>
      </c>
      <c r="AH283" s="3">
        <v>46131</v>
      </c>
    </row>
    <row r="284" spans="1:34" ht="12" customHeight="1">
      <c r="A284" s="3">
        <v>46131</v>
      </c>
      <c r="B284" s="5" t="s">
        <v>849</v>
      </c>
      <c r="C284" s="5" t="s">
        <v>850</v>
      </c>
      <c r="D284" s="5" t="s">
        <v>851</v>
      </c>
      <c r="E284" s="5" t="s">
        <v>63</v>
      </c>
      <c r="F284" s="5" t="str">
        <f t="shared" si="32"/>
        <v>Rice</v>
      </c>
      <c r="G284" s="5" t="s">
        <v>852</v>
      </c>
      <c r="H284" s="5" t="s">
        <v>64</v>
      </c>
      <c r="I284" s="5" t="s">
        <v>58</v>
      </c>
      <c r="J284" s="6">
        <v>15</v>
      </c>
      <c r="K284" s="6">
        <v>390</v>
      </c>
      <c r="L284" s="6">
        <v>367.5</v>
      </c>
      <c r="M284" s="6">
        <f t="shared" si="33"/>
        <v>143325</v>
      </c>
      <c r="N284" s="6">
        <v>0</v>
      </c>
      <c r="O284" s="6">
        <v>350</v>
      </c>
      <c r="P284" s="6">
        <f t="shared" si="34"/>
        <v>136500</v>
      </c>
      <c r="Q284" s="6">
        <f t="shared" si="35"/>
        <v>6825</v>
      </c>
      <c r="R284" s="6">
        <v>0</v>
      </c>
      <c r="S284" s="6">
        <v>0</v>
      </c>
      <c r="T284" s="6">
        <v>0</v>
      </c>
      <c r="U284" s="6">
        <v>0</v>
      </c>
      <c r="V284" s="6">
        <v>5850</v>
      </c>
      <c r="W284" s="6">
        <f t="shared" si="36"/>
        <v>0</v>
      </c>
      <c r="X284" s="6">
        <f t="shared" si="37"/>
        <v>5850</v>
      </c>
      <c r="Y284" s="6">
        <v>0</v>
      </c>
      <c r="Z284" s="6">
        <f t="shared" si="38"/>
        <v>975</v>
      </c>
      <c r="AA284" s="6" t="str">
        <f t="shared" si="39"/>
        <v xml:space="preserve"> Profit</v>
      </c>
      <c r="AB284" s="5" t="s">
        <v>853</v>
      </c>
      <c r="AC284" s="5" t="s">
        <v>82</v>
      </c>
      <c r="AD284" s="5" t="s">
        <v>43</v>
      </c>
      <c r="AE284" s="5" t="s">
        <v>238</v>
      </c>
      <c r="AF284" s="5" t="s">
        <v>45</v>
      </c>
      <c r="AG284" s="3">
        <v>46137</v>
      </c>
      <c r="AH284" s="3">
        <v>46141</v>
      </c>
    </row>
    <row r="285" spans="1:34" ht="12" customHeight="1">
      <c r="A285" s="3">
        <v>46132</v>
      </c>
      <c r="B285" s="5" t="s">
        <v>854</v>
      </c>
      <c r="C285" s="5" t="s">
        <v>850</v>
      </c>
      <c r="D285" s="5" t="s">
        <v>855</v>
      </c>
      <c r="E285" s="5" t="s">
        <v>63</v>
      </c>
      <c r="F285" s="5" t="str">
        <f t="shared" si="32"/>
        <v>Rice</v>
      </c>
      <c r="G285" s="5" t="s">
        <v>852</v>
      </c>
      <c r="H285" s="5" t="s">
        <v>64</v>
      </c>
      <c r="I285" s="5" t="s">
        <v>58</v>
      </c>
      <c r="J285" s="6">
        <v>15</v>
      </c>
      <c r="K285" s="6">
        <v>390</v>
      </c>
      <c r="L285" s="6">
        <v>367.5</v>
      </c>
      <c r="M285" s="6">
        <f t="shared" si="33"/>
        <v>143325</v>
      </c>
      <c r="N285" s="6">
        <v>0</v>
      </c>
      <c r="O285" s="6">
        <v>350</v>
      </c>
      <c r="P285" s="6">
        <f t="shared" si="34"/>
        <v>136500</v>
      </c>
      <c r="Q285" s="6">
        <f t="shared" si="35"/>
        <v>6825</v>
      </c>
      <c r="R285" s="6">
        <v>0</v>
      </c>
      <c r="S285" s="6">
        <v>0</v>
      </c>
      <c r="T285" s="6">
        <v>0</v>
      </c>
      <c r="U285" s="6">
        <v>0</v>
      </c>
      <c r="V285" s="6">
        <v>5850</v>
      </c>
      <c r="W285" s="6">
        <f t="shared" si="36"/>
        <v>0</v>
      </c>
      <c r="X285" s="6">
        <f t="shared" si="37"/>
        <v>5850</v>
      </c>
      <c r="Y285" s="6">
        <v>0</v>
      </c>
      <c r="Z285" s="6">
        <f t="shared" si="38"/>
        <v>975</v>
      </c>
      <c r="AA285" s="6" t="str">
        <f t="shared" si="39"/>
        <v xml:space="preserve"> Profit</v>
      </c>
      <c r="AB285" s="5" t="s">
        <v>856</v>
      </c>
      <c r="AC285" s="5" t="s">
        <v>82</v>
      </c>
      <c r="AD285" s="5" t="s">
        <v>88</v>
      </c>
      <c r="AE285" s="5" t="s">
        <v>770</v>
      </c>
      <c r="AF285" s="5" t="s">
        <v>771</v>
      </c>
      <c r="AG285" s="3">
        <v>46138</v>
      </c>
      <c r="AH285" s="3">
        <v>46142</v>
      </c>
    </row>
    <row r="286" spans="1:34" ht="12" customHeight="1">
      <c r="A286" s="3">
        <v>46138</v>
      </c>
      <c r="B286" s="5" t="s">
        <v>857</v>
      </c>
      <c r="C286" s="5" t="s">
        <v>850</v>
      </c>
      <c r="D286" s="5" t="s">
        <v>858</v>
      </c>
      <c r="E286" s="5" t="s">
        <v>63</v>
      </c>
      <c r="F286" s="5" t="str">
        <f t="shared" si="32"/>
        <v>Rice</v>
      </c>
      <c r="G286" s="5" t="s">
        <v>852</v>
      </c>
      <c r="H286" s="5" t="s">
        <v>64</v>
      </c>
      <c r="I286" s="5" t="s">
        <v>40</v>
      </c>
      <c r="J286" s="6">
        <v>10</v>
      </c>
      <c r="K286" s="6">
        <v>260</v>
      </c>
      <c r="L286" s="6">
        <v>367.5</v>
      </c>
      <c r="M286" s="6">
        <f t="shared" si="33"/>
        <v>95550</v>
      </c>
      <c r="N286" s="6">
        <v>12321.6</v>
      </c>
      <c r="O286" s="6">
        <v>350</v>
      </c>
      <c r="P286" s="6">
        <f t="shared" si="34"/>
        <v>91000</v>
      </c>
      <c r="Q286" s="6">
        <f t="shared" si="35"/>
        <v>4550</v>
      </c>
      <c r="R286" s="6">
        <v>30200</v>
      </c>
      <c r="S286" s="6">
        <v>270</v>
      </c>
      <c r="T286" s="6">
        <v>488</v>
      </c>
      <c r="U286" s="6">
        <v>96.64</v>
      </c>
      <c r="V286" s="6">
        <v>5680</v>
      </c>
      <c r="W286" s="6">
        <f t="shared" si="36"/>
        <v>12321.6</v>
      </c>
      <c r="X286" s="6">
        <f t="shared" si="37"/>
        <v>36734.639999999999</v>
      </c>
      <c r="Y286" s="6">
        <v>0</v>
      </c>
      <c r="Z286" s="6">
        <f t="shared" si="38"/>
        <v>-19863.04</v>
      </c>
      <c r="AA286" s="6" t="str">
        <f t="shared" si="39"/>
        <v xml:space="preserve"> Loss</v>
      </c>
      <c r="AB286" s="5" t="s">
        <v>859</v>
      </c>
      <c r="AC286" s="5" t="s">
        <v>42</v>
      </c>
      <c r="AD286" s="5" t="s">
        <v>43</v>
      </c>
      <c r="AE286" s="5" t="s">
        <v>238</v>
      </c>
      <c r="AF286" s="5" t="s">
        <v>45</v>
      </c>
      <c r="AG286" s="3">
        <v>46144</v>
      </c>
      <c r="AH286" s="3">
        <v>46148</v>
      </c>
    </row>
    <row r="287" spans="1:34" ht="12" customHeight="1">
      <c r="A287" s="3">
        <v>46141</v>
      </c>
      <c r="B287" s="5" t="s">
        <v>860</v>
      </c>
      <c r="C287" s="5" t="s">
        <v>861</v>
      </c>
      <c r="D287" s="5" t="s">
        <v>862</v>
      </c>
      <c r="E287" s="5" t="s">
        <v>863</v>
      </c>
      <c r="F287" s="5" t="str">
        <f t="shared" si="32"/>
        <v>Rice</v>
      </c>
      <c r="G287" s="5" t="s">
        <v>729</v>
      </c>
      <c r="H287" s="5" t="s">
        <v>64</v>
      </c>
      <c r="I287" s="5" t="s">
        <v>58</v>
      </c>
      <c r="J287" s="6">
        <v>10</v>
      </c>
      <c r="K287" s="6">
        <v>270</v>
      </c>
      <c r="L287" s="6">
        <v>1286.25</v>
      </c>
      <c r="M287" s="6">
        <f t="shared" si="33"/>
        <v>347287.5</v>
      </c>
      <c r="N287" s="6">
        <v>0</v>
      </c>
      <c r="O287" s="6">
        <v>1225</v>
      </c>
      <c r="P287" s="6">
        <f t="shared" si="34"/>
        <v>330750</v>
      </c>
      <c r="Q287" s="6">
        <f t="shared" si="35"/>
        <v>16537.5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f t="shared" si="36"/>
        <v>0</v>
      </c>
      <c r="X287" s="6">
        <f t="shared" si="37"/>
        <v>0</v>
      </c>
      <c r="Y287" s="6">
        <v>0</v>
      </c>
      <c r="Z287" s="6">
        <f t="shared" si="38"/>
        <v>16537.5</v>
      </c>
      <c r="AA287" s="6" t="str">
        <f t="shared" si="39"/>
        <v xml:space="preserve"> Profit</v>
      </c>
      <c r="AB287" s="5" t="s">
        <v>864</v>
      </c>
      <c r="AC287" s="5" t="s">
        <v>42</v>
      </c>
      <c r="AD287" s="5" t="s">
        <v>43</v>
      </c>
      <c r="AE287" s="5" t="s">
        <v>238</v>
      </c>
      <c r="AF287" s="5" t="s">
        <v>45</v>
      </c>
      <c r="AG287" s="3">
        <v>46147</v>
      </c>
      <c r="AH287" s="3">
        <v>46151</v>
      </c>
    </row>
    <row r="288" spans="1:34" ht="12" customHeight="1">
      <c r="A288" s="3">
        <v>46153</v>
      </c>
      <c r="B288" s="5" t="s">
        <v>865</v>
      </c>
      <c r="C288" s="5" t="s">
        <v>866</v>
      </c>
      <c r="D288" s="5" t="s">
        <v>867</v>
      </c>
      <c r="E288" s="5" t="s">
        <v>868</v>
      </c>
      <c r="F288" s="5" t="str">
        <f t="shared" si="32"/>
        <v>Rice</v>
      </c>
      <c r="G288" s="5" t="s">
        <v>86</v>
      </c>
      <c r="H288" s="5" t="s">
        <v>754</v>
      </c>
      <c r="I288" s="5" t="s">
        <v>58</v>
      </c>
      <c r="J288" s="6">
        <v>2</v>
      </c>
      <c r="K288" s="6">
        <v>50</v>
      </c>
      <c r="L288" s="6">
        <v>1436.4</v>
      </c>
      <c r="M288" s="6">
        <f t="shared" si="33"/>
        <v>71820</v>
      </c>
      <c r="N288" s="6">
        <v>0</v>
      </c>
      <c r="O288" s="6">
        <v>1368</v>
      </c>
      <c r="P288" s="6">
        <f t="shared" si="34"/>
        <v>68400</v>
      </c>
      <c r="Q288" s="6">
        <f t="shared" si="35"/>
        <v>3420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f t="shared" si="36"/>
        <v>0</v>
      </c>
      <c r="X288" s="6">
        <f t="shared" si="37"/>
        <v>0</v>
      </c>
      <c r="Y288" s="6">
        <v>0</v>
      </c>
      <c r="Z288" s="6">
        <f t="shared" si="38"/>
        <v>3420</v>
      </c>
      <c r="AA288" s="6" t="str">
        <f t="shared" si="39"/>
        <v xml:space="preserve"> Profit</v>
      </c>
      <c r="AB288" s="5" t="s">
        <v>869</v>
      </c>
      <c r="AC288" s="5" t="s">
        <v>541</v>
      </c>
      <c r="AD288" s="5" t="s">
        <v>542</v>
      </c>
      <c r="AE288" s="5" t="s">
        <v>43</v>
      </c>
      <c r="AF288" s="5" t="s">
        <v>263</v>
      </c>
      <c r="AG288" s="3">
        <v>46159</v>
      </c>
      <c r="AH288" s="3">
        <v>46163</v>
      </c>
    </row>
    <row r="289" spans="1:34" ht="12" customHeight="1">
      <c r="A289" s="3">
        <v>46161</v>
      </c>
      <c r="B289" s="5" t="s">
        <v>870</v>
      </c>
      <c r="C289" s="5" t="s">
        <v>871</v>
      </c>
      <c r="D289" s="5" t="s">
        <v>872</v>
      </c>
      <c r="E289" s="5" t="s">
        <v>341</v>
      </c>
      <c r="F289" s="5" t="str">
        <f t="shared" si="32"/>
        <v>Lentils</v>
      </c>
      <c r="G289" s="5" t="s">
        <v>38</v>
      </c>
      <c r="H289" s="5" t="s">
        <v>64</v>
      </c>
      <c r="I289" s="5" t="s">
        <v>58</v>
      </c>
      <c r="J289" s="6">
        <v>2</v>
      </c>
      <c r="K289" s="6">
        <v>50</v>
      </c>
      <c r="L289" s="6">
        <v>554.4</v>
      </c>
      <c r="M289" s="6">
        <f t="shared" si="33"/>
        <v>27720</v>
      </c>
      <c r="N289" s="6">
        <v>0</v>
      </c>
      <c r="O289" s="6">
        <v>528</v>
      </c>
      <c r="P289" s="6">
        <f t="shared" si="34"/>
        <v>26400</v>
      </c>
      <c r="Q289" s="6">
        <f t="shared" si="35"/>
        <v>1320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f t="shared" si="36"/>
        <v>0</v>
      </c>
      <c r="X289" s="6">
        <f t="shared" si="37"/>
        <v>0</v>
      </c>
      <c r="Y289" s="6">
        <v>0</v>
      </c>
      <c r="Z289" s="6">
        <f t="shared" si="38"/>
        <v>1320</v>
      </c>
      <c r="AA289" s="6" t="str">
        <f t="shared" si="39"/>
        <v xml:space="preserve"> Profit</v>
      </c>
      <c r="AB289" s="5" t="s">
        <v>873</v>
      </c>
      <c r="AC289" s="5" t="s">
        <v>193</v>
      </c>
      <c r="AD289" s="5" t="s">
        <v>67</v>
      </c>
      <c r="AE289" s="5" t="s">
        <v>238</v>
      </c>
      <c r="AF289" s="5" t="s">
        <v>45</v>
      </c>
      <c r="AG289" s="3">
        <v>46167</v>
      </c>
      <c r="AH289" s="3">
        <v>46171</v>
      </c>
    </row>
    <row r="290" spans="1:34" ht="12" customHeight="1">
      <c r="A290" s="3">
        <v>46163</v>
      </c>
      <c r="B290" s="5" t="s">
        <v>874</v>
      </c>
      <c r="C290" s="5" t="s">
        <v>875</v>
      </c>
      <c r="D290" s="5" t="s">
        <v>876</v>
      </c>
      <c r="E290" s="5" t="s">
        <v>341</v>
      </c>
      <c r="F290" s="5" t="str">
        <f t="shared" si="32"/>
        <v>Lentils</v>
      </c>
      <c r="G290" s="5" t="s">
        <v>38</v>
      </c>
      <c r="H290" s="5" t="s">
        <v>64</v>
      </c>
      <c r="I290" s="5" t="s">
        <v>40</v>
      </c>
      <c r="J290" s="6">
        <v>2</v>
      </c>
      <c r="K290" s="6">
        <v>50</v>
      </c>
      <c r="L290" s="6">
        <v>735</v>
      </c>
      <c r="M290" s="6">
        <f t="shared" si="33"/>
        <v>36750</v>
      </c>
      <c r="N290" s="6">
        <v>1479.9424799999999</v>
      </c>
      <c r="O290" s="6">
        <v>700</v>
      </c>
      <c r="P290" s="6">
        <f t="shared" si="34"/>
        <v>35000</v>
      </c>
      <c r="Q290" s="6">
        <f t="shared" si="35"/>
        <v>1750</v>
      </c>
      <c r="R290" s="6">
        <v>3627.31</v>
      </c>
      <c r="S290" s="6">
        <v>50.01</v>
      </c>
      <c r="T290" s="6">
        <v>765</v>
      </c>
      <c r="U290" s="6">
        <v>11.6074</v>
      </c>
      <c r="V290" s="6">
        <v>0</v>
      </c>
      <c r="W290" s="6">
        <f t="shared" si="36"/>
        <v>1479.9424799999999</v>
      </c>
      <c r="X290" s="6">
        <f t="shared" si="37"/>
        <v>4453.9273999999996</v>
      </c>
      <c r="Y290" s="6">
        <v>0</v>
      </c>
      <c r="Z290" s="6">
        <f t="shared" si="38"/>
        <v>-1223.9849199999996</v>
      </c>
      <c r="AA290" s="6" t="str">
        <f t="shared" si="39"/>
        <v xml:space="preserve"> Loss</v>
      </c>
      <c r="AB290" s="5" t="s">
        <v>877</v>
      </c>
      <c r="AC290" s="5" t="s">
        <v>66</v>
      </c>
      <c r="AD290" s="5" t="s">
        <v>43</v>
      </c>
      <c r="AE290" s="5" t="s">
        <v>238</v>
      </c>
      <c r="AF290" s="5" t="s">
        <v>45</v>
      </c>
      <c r="AG290" s="3">
        <v>46169</v>
      </c>
      <c r="AH290" s="3">
        <v>46173</v>
      </c>
    </row>
    <row r="291" spans="1:34" ht="12" customHeight="1">
      <c r="A291" s="3">
        <v>46165</v>
      </c>
      <c r="B291" s="5" t="s">
        <v>878</v>
      </c>
      <c r="C291" s="5" t="s">
        <v>879</v>
      </c>
      <c r="D291" s="5" t="s">
        <v>880</v>
      </c>
      <c r="E291" s="5" t="s">
        <v>341</v>
      </c>
      <c r="F291" s="5" t="str">
        <f t="shared" si="32"/>
        <v>Lentils</v>
      </c>
      <c r="G291" s="5" t="s">
        <v>444</v>
      </c>
      <c r="H291" s="5" t="s">
        <v>64</v>
      </c>
      <c r="I291" s="5" t="s">
        <v>40</v>
      </c>
      <c r="J291" s="6">
        <v>2</v>
      </c>
      <c r="K291" s="6">
        <v>50</v>
      </c>
      <c r="L291" s="6">
        <v>735</v>
      </c>
      <c r="M291" s="6">
        <f t="shared" si="33"/>
        <v>36750</v>
      </c>
      <c r="N291" s="6">
        <v>538.60997999999995</v>
      </c>
      <c r="O291" s="6">
        <v>700</v>
      </c>
      <c r="P291" s="6">
        <f t="shared" si="34"/>
        <v>35000</v>
      </c>
      <c r="Q291" s="6">
        <f t="shared" si="35"/>
        <v>1750</v>
      </c>
      <c r="R291" s="6">
        <v>1320.1224999999999</v>
      </c>
      <c r="S291" s="6">
        <v>25</v>
      </c>
      <c r="T291" s="6">
        <v>765</v>
      </c>
      <c r="U291" s="6">
        <v>4.2244000000000002</v>
      </c>
      <c r="V291" s="6">
        <v>50</v>
      </c>
      <c r="W291" s="6">
        <f t="shared" si="36"/>
        <v>538.60997999999995</v>
      </c>
      <c r="X291" s="6">
        <f t="shared" si="37"/>
        <v>2164.3469</v>
      </c>
      <c r="Y291" s="6">
        <v>0</v>
      </c>
      <c r="Z291" s="6">
        <f t="shared" si="38"/>
        <v>124.26307999999995</v>
      </c>
      <c r="AA291" s="6" t="str">
        <f t="shared" si="39"/>
        <v xml:space="preserve"> Profit</v>
      </c>
      <c r="AB291" s="5" t="s">
        <v>881</v>
      </c>
      <c r="AC291" s="5" t="s">
        <v>82</v>
      </c>
      <c r="AD291" s="5" t="s">
        <v>88</v>
      </c>
      <c r="AE291" s="5" t="s">
        <v>770</v>
      </c>
      <c r="AF291" s="5" t="s">
        <v>771</v>
      </c>
      <c r="AG291" s="3">
        <v>46171</v>
      </c>
      <c r="AH291" s="3">
        <v>46175</v>
      </c>
    </row>
    <row r="292" spans="1:34" ht="12" customHeight="1">
      <c r="A292" s="3">
        <v>46167</v>
      </c>
      <c r="B292" s="5" t="s">
        <v>882</v>
      </c>
      <c r="C292" s="5" t="s">
        <v>883</v>
      </c>
      <c r="D292" s="5" t="s">
        <v>884</v>
      </c>
      <c r="E292" s="5" t="s">
        <v>341</v>
      </c>
      <c r="F292" s="5" t="str">
        <f t="shared" si="32"/>
        <v>Lentils</v>
      </c>
      <c r="G292" s="5" t="s">
        <v>852</v>
      </c>
      <c r="H292" s="5" t="s">
        <v>64</v>
      </c>
      <c r="I292" s="5" t="s">
        <v>40</v>
      </c>
      <c r="J292" s="6">
        <v>1</v>
      </c>
      <c r="K292" s="6">
        <v>25</v>
      </c>
      <c r="L292" s="6">
        <v>735</v>
      </c>
      <c r="M292" s="6">
        <f t="shared" si="33"/>
        <v>18375</v>
      </c>
      <c r="N292" s="6">
        <v>285.676602</v>
      </c>
      <c r="O292" s="6">
        <v>700</v>
      </c>
      <c r="P292" s="6">
        <f t="shared" si="34"/>
        <v>17500</v>
      </c>
      <c r="Q292" s="6">
        <f t="shared" si="35"/>
        <v>875</v>
      </c>
      <c r="R292" s="6">
        <v>700.18780000000004</v>
      </c>
      <c r="S292" s="6">
        <v>2401.08</v>
      </c>
      <c r="T292" s="6">
        <v>760</v>
      </c>
      <c r="U292" s="6">
        <v>2.2406000000000001</v>
      </c>
      <c r="V292" s="6">
        <v>45</v>
      </c>
      <c r="W292" s="6">
        <f t="shared" si="36"/>
        <v>285.676602</v>
      </c>
      <c r="X292" s="6">
        <f t="shared" si="37"/>
        <v>3908.5084000000002</v>
      </c>
      <c r="Y292" s="6">
        <v>0</v>
      </c>
      <c r="Z292" s="6">
        <f t="shared" si="38"/>
        <v>-2747.8317980000002</v>
      </c>
      <c r="AA292" s="6" t="str">
        <f t="shared" si="39"/>
        <v xml:space="preserve"> Loss</v>
      </c>
      <c r="AB292" s="5" t="s">
        <v>885</v>
      </c>
      <c r="AC292" s="5" t="s">
        <v>82</v>
      </c>
      <c r="AD292" s="5" t="s">
        <v>88</v>
      </c>
      <c r="AE292" s="5" t="s">
        <v>770</v>
      </c>
      <c r="AF292" s="5" t="s">
        <v>771</v>
      </c>
      <c r="AG292" s="3">
        <v>46173</v>
      </c>
      <c r="AH292" s="3">
        <v>46177</v>
      </c>
    </row>
    <row r="293" spans="1:34" ht="12" customHeight="1">
      <c r="A293" s="3">
        <v>46171</v>
      </c>
      <c r="B293" s="5" t="s">
        <v>886</v>
      </c>
      <c r="C293" s="5" t="s">
        <v>513</v>
      </c>
      <c r="D293" s="5" t="s">
        <v>887</v>
      </c>
      <c r="E293" s="5" t="s">
        <v>341</v>
      </c>
      <c r="F293" s="5" t="str">
        <f t="shared" si="32"/>
        <v>Lentils</v>
      </c>
      <c r="G293" s="5" t="s">
        <v>49</v>
      </c>
      <c r="H293" s="5" t="s">
        <v>39</v>
      </c>
      <c r="I293" s="5" t="s">
        <v>58</v>
      </c>
      <c r="J293" s="6">
        <v>0</v>
      </c>
      <c r="K293" s="6">
        <v>2401</v>
      </c>
      <c r="L293" s="6">
        <v>803.25</v>
      </c>
      <c r="M293" s="6">
        <f t="shared" si="33"/>
        <v>1928603.25</v>
      </c>
      <c r="N293" s="6">
        <v>0</v>
      </c>
      <c r="O293" s="6">
        <v>765</v>
      </c>
      <c r="P293" s="6">
        <f t="shared" si="34"/>
        <v>1836765</v>
      </c>
      <c r="Q293" s="6">
        <f t="shared" si="35"/>
        <v>91838.25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f t="shared" si="36"/>
        <v>0</v>
      </c>
      <c r="X293" s="6">
        <f t="shared" si="37"/>
        <v>0</v>
      </c>
      <c r="Y293" s="6">
        <v>0</v>
      </c>
      <c r="Z293" s="6">
        <f t="shared" si="38"/>
        <v>91838.25</v>
      </c>
      <c r="AA293" s="6" t="str">
        <f t="shared" si="39"/>
        <v xml:space="preserve"> Profit</v>
      </c>
      <c r="AB293" s="5" t="s">
        <v>888</v>
      </c>
      <c r="AC293" s="5" t="s">
        <v>168</v>
      </c>
      <c r="AD293" s="5" t="s">
        <v>43</v>
      </c>
      <c r="AE293" s="5" t="s">
        <v>238</v>
      </c>
      <c r="AF293" s="5" t="s">
        <v>45</v>
      </c>
      <c r="AG293" s="3">
        <v>46177</v>
      </c>
      <c r="AH293" s="3">
        <v>46181</v>
      </c>
    </row>
    <row r="294" spans="1:34" ht="12" customHeight="1">
      <c r="A294" s="3">
        <v>46174</v>
      </c>
      <c r="B294" s="5" t="s">
        <v>889</v>
      </c>
      <c r="C294" s="5" t="s">
        <v>890</v>
      </c>
      <c r="D294" s="5" t="s">
        <v>891</v>
      </c>
      <c r="E294" s="5" t="s">
        <v>892</v>
      </c>
      <c r="F294" s="5" t="str">
        <f t="shared" si="32"/>
        <v>Lentils</v>
      </c>
      <c r="G294" s="5" t="s">
        <v>256</v>
      </c>
      <c r="H294" s="5" t="s">
        <v>64</v>
      </c>
      <c r="I294" s="5" t="s">
        <v>58</v>
      </c>
      <c r="J294" s="6">
        <v>0</v>
      </c>
      <c r="K294" s="6">
        <v>100</v>
      </c>
      <c r="L294" s="6">
        <v>740.25</v>
      </c>
      <c r="M294" s="6">
        <f t="shared" si="33"/>
        <v>74025</v>
      </c>
      <c r="N294" s="6">
        <v>0</v>
      </c>
      <c r="O294" s="6">
        <v>705</v>
      </c>
      <c r="P294" s="6">
        <f t="shared" si="34"/>
        <v>70500</v>
      </c>
      <c r="Q294" s="6">
        <f t="shared" si="35"/>
        <v>3525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f t="shared" si="36"/>
        <v>0</v>
      </c>
      <c r="X294" s="6">
        <f t="shared" si="37"/>
        <v>0</v>
      </c>
      <c r="Y294" s="6">
        <v>0</v>
      </c>
      <c r="Z294" s="6">
        <f t="shared" si="38"/>
        <v>3525</v>
      </c>
      <c r="AA294" s="6" t="str">
        <f t="shared" si="39"/>
        <v xml:space="preserve"> Profit</v>
      </c>
      <c r="AB294" s="5" t="s">
        <v>893</v>
      </c>
      <c r="AC294" s="5" t="s">
        <v>66</v>
      </c>
      <c r="AD294" s="5" t="s">
        <v>67</v>
      </c>
      <c r="AE294" s="5" t="s">
        <v>770</v>
      </c>
      <c r="AF294" s="5" t="s">
        <v>771</v>
      </c>
      <c r="AG294" s="3">
        <v>46180</v>
      </c>
      <c r="AH294" s="3">
        <v>46184</v>
      </c>
    </row>
    <row r="295" spans="1:34" ht="12" customHeight="1">
      <c r="A295" s="3">
        <v>46175</v>
      </c>
      <c r="B295" s="5" t="s">
        <v>894</v>
      </c>
      <c r="C295" s="5" t="s">
        <v>895</v>
      </c>
      <c r="D295" s="5" t="s">
        <v>896</v>
      </c>
      <c r="E295" s="5" t="s">
        <v>892</v>
      </c>
      <c r="F295" s="5" t="str">
        <f t="shared" si="32"/>
        <v>Lentils</v>
      </c>
      <c r="G295" s="5" t="s">
        <v>272</v>
      </c>
      <c r="H295" s="5" t="s">
        <v>64</v>
      </c>
      <c r="I295" s="5" t="s">
        <v>58</v>
      </c>
      <c r="J295" s="6">
        <v>5</v>
      </c>
      <c r="K295" s="6">
        <v>50</v>
      </c>
      <c r="L295" s="6">
        <v>554.4</v>
      </c>
      <c r="M295" s="6">
        <f t="shared" si="33"/>
        <v>27720</v>
      </c>
      <c r="N295" s="6">
        <v>0</v>
      </c>
      <c r="O295" s="6">
        <v>528</v>
      </c>
      <c r="P295" s="6">
        <f t="shared" si="34"/>
        <v>26400</v>
      </c>
      <c r="Q295" s="6">
        <f t="shared" si="35"/>
        <v>1320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f t="shared" si="36"/>
        <v>0</v>
      </c>
      <c r="X295" s="6">
        <f t="shared" si="37"/>
        <v>0</v>
      </c>
      <c r="Y295" s="6">
        <v>0</v>
      </c>
      <c r="Z295" s="6">
        <f t="shared" si="38"/>
        <v>1320</v>
      </c>
      <c r="AA295" s="6" t="str">
        <f t="shared" si="39"/>
        <v xml:space="preserve"> Profit</v>
      </c>
      <c r="AB295" s="5" t="s">
        <v>897</v>
      </c>
      <c r="AC295" s="5" t="s">
        <v>168</v>
      </c>
      <c r="AD295" s="5" t="s">
        <v>43</v>
      </c>
      <c r="AE295" s="5" t="s">
        <v>238</v>
      </c>
      <c r="AF295" s="5" t="s">
        <v>45</v>
      </c>
      <c r="AG295" s="3">
        <v>46181</v>
      </c>
      <c r="AH295" s="3">
        <v>46185</v>
      </c>
    </row>
    <row r="296" spans="1:34" ht="12" customHeight="1">
      <c r="A296" s="3">
        <v>46178</v>
      </c>
      <c r="B296" s="5" t="s">
        <v>898</v>
      </c>
      <c r="C296" s="5" t="s">
        <v>535</v>
      </c>
      <c r="D296" s="5" t="s">
        <v>899</v>
      </c>
      <c r="E296" s="5" t="s">
        <v>712</v>
      </c>
      <c r="F296" s="5" t="str">
        <f t="shared" si="32"/>
        <v>Lentils</v>
      </c>
      <c r="G296" s="5" t="s">
        <v>49</v>
      </c>
      <c r="H296" s="5" t="s">
        <v>101</v>
      </c>
      <c r="I296" s="5" t="s">
        <v>58</v>
      </c>
      <c r="J296" s="6">
        <v>0</v>
      </c>
      <c r="K296" s="6">
        <v>1000</v>
      </c>
      <c r="L296" s="6">
        <v>542.85</v>
      </c>
      <c r="M296" s="6">
        <f t="shared" si="33"/>
        <v>542850</v>
      </c>
      <c r="N296" s="6">
        <v>0</v>
      </c>
      <c r="O296" s="6">
        <v>517</v>
      </c>
      <c r="P296" s="6">
        <f t="shared" si="34"/>
        <v>517000</v>
      </c>
      <c r="Q296" s="6">
        <f t="shared" si="35"/>
        <v>25850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f t="shared" si="36"/>
        <v>0</v>
      </c>
      <c r="X296" s="6">
        <f t="shared" si="37"/>
        <v>0</v>
      </c>
      <c r="Y296" s="6">
        <v>0</v>
      </c>
      <c r="Z296" s="6">
        <f t="shared" si="38"/>
        <v>25850</v>
      </c>
      <c r="AA296" s="6" t="str">
        <f t="shared" si="39"/>
        <v xml:space="preserve"> Profit</v>
      </c>
      <c r="AB296" s="5" t="s">
        <v>948</v>
      </c>
      <c r="AC296" s="5" t="s">
        <v>168</v>
      </c>
      <c r="AD296" s="5" t="s">
        <v>43</v>
      </c>
      <c r="AE296" s="5" t="s">
        <v>238</v>
      </c>
      <c r="AF296" s="5" t="s">
        <v>45</v>
      </c>
      <c r="AG296" s="3">
        <v>46184</v>
      </c>
      <c r="AH296" s="3">
        <v>46188</v>
      </c>
    </row>
    <row r="297" spans="1:34" ht="12" customHeight="1">
      <c r="A297" s="3">
        <v>46182</v>
      </c>
      <c r="B297" s="5" t="s">
        <v>901</v>
      </c>
      <c r="C297" s="5" t="s">
        <v>902</v>
      </c>
      <c r="D297" s="5" t="s">
        <v>903</v>
      </c>
      <c r="E297" s="5" t="s">
        <v>712</v>
      </c>
      <c r="F297" s="5" t="str">
        <f t="shared" si="32"/>
        <v>Lentils</v>
      </c>
      <c r="G297" s="5" t="s">
        <v>49</v>
      </c>
      <c r="H297" s="5" t="s">
        <v>101</v>
      </c>
      <c r="I297" s="5" t="s">
        <v>58</v>
      </c>
      <c r="J297" s="6">
        <v>0</v>
      </c>
      <c r="K297" s="6">
        <v>1000</v>
      </c>
      <c r="L297" s="6">
        <v>583.79999999999995</v>
      </c>
      <c r="M297" s="6">
        <f t="shared" si="33"/>
        <v>583800</v>
      </c>
      <c r="N297" s="6">
        <v>0</v>
      </c>
      <c r="O297" s="6">
        <v>556</v>
      </c>
      <c r="P297" s="6">
        <f t="shared" si="34"/>
        <v>556000</v>
      </c>
      <c r="Q297" s="6">
        <f t="shared" si="35"/>
        <v>27800</v>
      </c>
      <c r="R297" s="6">
        <v>0</v>
      </c>
      <c r="S297" s="6">
        <v>0</v>
      </c>
      <c r="T297" s="6">
        <v>0</v>
      </c>
      <c r="U297" s="6">
        <v>0</v>
      </c>
      <c r="V297" s="6">
        <v>11.5</v>
      </c>
      <c r="W297" s="6">
        <f t="shared" si="36"/>
        <v>0</v>
      </c>
      <c r="X297" s="6">
        <f t="shared" si="37"/>
        <v>11.5</v>
      </c>
      <c r="Y297" s="6">
        <v>0</v>
      </c>
      <c r="Z297" s="6">
        <f t="shared" si="38"/>
        <v>27788.5</v>
      </c>
      <c r="AA297" s="6" t="str">
        <f t="shared" si="39"/>
        <v xml:space="preserve"> Profit</v>
      </c>
      <c r="AB297" s="5" t="s">
        <v>900</v>
      </c>
      <c r="AC297" s="5" t="s">
        <v>66</v>
      </c>
      <c r="AD297" s="5" t="s">
        <v>67</v>
      </c>
      <c r="AE297" s="5" t="s">
        <v>770</v>
      </c>
      <c r="AF297" s="5" t="s">
        <v>771</v>
      </c>
      <c r="AG297" s="3">
        <v>46188</v>
      </c>
      <c r="AH297" s="3">
        <v>46192</v>
      </c>
    </row>
    <row r="298" spans="1:34" ht="12" customHeight="1">
      <c r="A298" s="3">
        <v>46184</v>
      </c>
      <c r="B298" s="5" t="s">
        <v>904</v>
      </c>
      <c r="C298" s="5" t="s">
        <v>902</v>
      </c>
      <c r="D298" s="5" t="s">
        <v>903</v>
      </c>
      <c r="E298" s="5" t="s">
        <v>712</v>
      </c>
      <c r="F298" s="5" t="str">
        <f t="shared" si="32"/>
        <v>Lentils</v>
      </c>
      <c r="G298" s="5" t="s">
        <v>49</v>
      </c>
      <c r="H298" s="5" t="s">
        <v>101</v>
      </c>
      <c r="I298" s="5" t="s">
        <v>58</v>
      </c>
      <c r="J298" s="6">
        <v>0</v>
      </c>
      <c r="K298" s="6">
        <v>1000</v>
      </c>
      <c r="L298" s="6">
        <v>583.79999999999995</v>
      </c>
      <c r="M298" s="6">
        <f t="shared" si="33"/>
        <v>583800</v>
      </c>
      <c r="N298" s="6">
        <v>0</v>
      </c>
      <c r="O298" s="6">
        <v>556</v>
      </c>
      <c r="P298" s="6">
        <f t="shared" si="34"/>
        <v>556000</v>
      </c>
      <c r="Q298" s="6">
        <f t="shared" si="35"/>
        <v>27800</v>
      </c>
      <c r="R298" s="6">
        <v>0</v>
      </c>
      <c r="S298" s="6">
        <v>0</v>
      </c>
      <c r="T298" s="6">
        <v>0</v>
      </c>
      <c r="U298" s="6">
        <v>0</v>
      </c>
      <c r="V298" s="6">
        <v>37.159999999999997</v>
      </c>
      <c r="W298" s="6">
        <f t="shared" si="36"/>
        <v>0</v>
      </c>
      <c r="X298" s="6">
        <f t="shared" si="37"/>
        <v>37.159999999999997</v>
      </c>
      <c r="Y298" s="6">
        <v>0</v>
      </c>
      <c r="Z298" s="6">
        <f t="shared" si="38"/>
        <v>27762.84</v>
      </c>
      <c r="AA298" s="6" t="str">
        <f t="shared" si="39"/>
        <v xml:space="preserve"> Profit</v>
      </c>
      <c r="AB298" s="5" t="s">
        <v>905</v>
      </c>
      <c r="AC298" s="5" t="s">
        <v>168</v>
      </c>
      <c r="AD298" s="5" t="s">
        <v>43</v>
      </c>
      <c r="AE298" s="5" t="s">
        <v>238</v>
      </c>
      <c r="AF298" s="5" t="s">
        <v>45</v>
      </c>
      <c r="AG298" s="3">
        <v>46190</v>
      </c>
      <c r="AH298" s="3">
        <v>46194</v>
      </c>
    </row>
    <row r="299" spans="1:34" ht="12" customHeight="1">
      <c r="A299" s="3">
        <v>46187</v>
      </c>
      <c r="B299" s="5" t="s">
        <v>906</v>
      </c>
      <c r="C299" s="5" t="s">
        <v>907</v>
      </c>
      <c r="D299" s="5" t="s">
        <v>908</v>
      </c>
      <c r="E299" s="5" t="s">
        <v>712</v>
      </c>
      <c r="F299" s="5" t="str">
        <f t="shared" si="32"/>
        <v>Lentils</v>
      </c>
      <c r="G299" s="5" t="s">
        <v>49</v>
      </c>
      <c r="H299" s="5" t="s">
        <v>101</v>
      </c>
      <c r="I299" s="5" t="s">
        <v>58</v>
      </c>
      <c r="J299" s="6">
        <v>0</v>
      </c>
      <c r="K299" s="6">
        <v>1000</v>
      </c>
      <c r="L299" s="6">
        <v>583.79999999999995</v>
      </c>
      <c r="M299" s="6">
        <f t="shared" si="33"/>
        <v>583800</v>
      </c>
      <c r="N299" s="6">
        <v>0</v>
      </c>
      <c r="O299" s="6">
        <v>556</v>
      </c>
      <c r="P299" s="6">
        <f t="shared" si="34"/>
        <v>556000</v>
      </c>
      <c r="Q299" s="6">
        <f t="shared" si="35"/>
        <v>27800</v>
      </c>
      <c r="R299" s="6">
        <v>0</v>
      </c>
      <c r="S299" s="6">
        <v>0</v>
      </c>
      <c r="T299" s="6">
        <v>0</v>
      </c>
      <c r="U299" s="6">
        <v>0</v>
      </c>
      <c r="V299" s="6">
        <v>8.58</v>
      </c>
      <c r="W299" s="6">
        <f t="shared" si="36"/>
        <v>0</v>
      </c>
      <c r="X299" s="6">
        <f t="shared" si="37"/>
        <v>8.58</v>
      </c>
      <c r="Y299" s="6">
        <v>0</v>
      </c>
      <c r="Z299" s="6">
        <f t="shared" si="38"/>
        <v>27791.42</v>
      </c>
      <c r="AA299" s="6" t="str">
        <f t="shared" si="39"/>
        <v xml:space="preserve"> Profit</v>
      </c>
      <c r="AB299" s="5" t="s">
        <v>909</v>
      </c>
      <c r="AC299" s="5" t="s">
        <v>42</v>
      </c>
      <c r="AD299" s="5" t="s">
        <v>43</v>
      </c>
      <c r="AE299" s="5" t="s">
        <v>238</v>
      </c>
      <c r="AF299" s="5" t="s">
        <v>45</v>
      </c>
      <c r="AG299" s="3">
        <v>46193</v>
      </c>
      <c r="AH299" s="3">
        <v>46197</v>
      </c>
    </row>
    <row r="300" spans="1:34" ht="12" customHeight="1">
      <c r="A300" s="3">
        <v>46190</v>
      </c>
      <c r="B300" s="5" t="s">
        <v>910</v>
      </c>
      <c r="C300" s="5" t="s">
        <v>907</v>
      </c>
      <c r="D300" s="5" t="s">
        <v>903</v>
      </c>
      <c r="E300" s="5" t="s">
        <v>712</v>
      </c>
      <c r="F300" s="5" t="str">
        <f t="shared" si="32"/>
        <v>Lentils</v>
      </c>
      <c r="G300" s="5" t="s">
        <v>49</v>
      </c>
      <c r="H300" s="5" t="s">
        <v>101</v>
      </c>
      <c r="I300" s="5" t="s">
        <v>58</v>
      </c>
      <c r="J300" s="6">
        <v>0</v>
      </c>
      <c r="K300" s="6">
        <v>1011</v>
      </c>
      <c r="L300" s="6">
        <v>583.79999999999995</v>
      </c>
      <c r="M300" s="6">
        <f t="shared" si="33"/>
        <v>590221.79999999993</v>
      </c>
      <c r="N300" s="6">
        <v>0</v>
      </c>
      <c r="O300" s="6">
        <v>556</v>
      </c>
      <c r="P300" s="6">
        <f t="shared" si="34"/>
        <v>562116</v>
      </c>
      <c r="Q300" s="6">
        <f t="shared" si="35"/>
        <v>28105.79999999993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f t="shared" si="36"/>
        <v>0</v>
      </c>
      <c r="X300" s="6">
        <f t="shared" si="37"/>
        <v>0</v>
      </c>
      <c r="Y300" s="6">
        <v>0</v>
      </c>
      <c r="Z300" s="6">
        <f t="shared" si="38"/>
        <v>28105.79999999993</v>
      </c>
      <c r="AA300" s="6" t="str">
        <f t="shared" si="39"/>
        <v xml:space="preserve"> Profit</v>
      </c>
      <c r="AB300" s="5" t="s">
        <v>911</v>
      </c>
      <c r="AC300" s="5" t="s">
        <v>42</v>
      </c>
      <c r="AD300" s="5" t="s">
        <v>43</v>
      </c>
      <c r="AE300" s="5" t="s">
        <v>238</v>
      </c>
      <c r="AF300" s="5" t="s">
        <v>45</v>
      </c>
      <c r="AG300" s="3">
        <v>46196</v>
      </c>
      <c r="AH300" s="3">
        <v>46200</v>
      </c>
    </row>
    <row r="301" spans="1:34" ht="12" customHeight="1">
      <c r="A301" s="3">
        <v>46193</v>
      </c>
      <c r="B301" s="5" t="s">
        <v>912</v>
      </c>
      <c r="C301" s="5" t="s">
        <v>719</v>
      </c>
      <c r="D301" s="5" t="s">
        <v>913</v>
      </c>
      <c r="E301" s="5" t="s">
        <v>100</v>
      </c>
      <c r="F301" s="5" t="str">
        <f t="shared" si="32"/>
        <v>Cloves</v>
      </c>
      <c r="G301" s="5" t="s">
        <v>49</v>
      </c>
      <c r="H301" s="5" t="s">
        <v>57</v>
      </c>
      <c r="I301" s="5" t="s">
        <v>58</v>
      </c>
      <c r="J301" s="6">
        <v>0</v>
      </c>
      <c r="K301" s="6">
        <v>25</v>
      </c>
      <c r="L301" s="6">
        <v>7192.5</v>
      </c>
      <c r="M301" s="6">
        <f t="shared" si="33"/>
        <v>179812.5</v>
      </c>
      <c r="N301" s="6">
        <v>0</v>
      </c>
      <c r="O301" s="6">
        <v>6850</v>
      </c>
      <c r="P301" s="6">
        <f t="shared" si="34"/>
        <v>171250</v>
      </c>
      <c r="Q301" s="6">
        <f t="shared" si="35"/>
        <v>8562.5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f t="shared" si="36"/>
        <v>0</v>
      </c>
      <c r="X301" s="6">
        <f t="shared" si="37"/>
        <v>0</v>
      </c>
      <c r="Y301" s="6">
        <v>0</v>
      </c>
      <c r="Z301" s="6">
        <f t="shared" si="38"/>
        <v>8562.5</v>
      </c>
      <c r="AA301" s="6" t="str">
        <f t="shared" si="39"/>
        <v xml:space="preserve"> Profit</v>
      </c>
      <c r="AB301" s="5" t="s">
        <v>914</v>
      </c>
      <c r="AC301" s="5" t="s">
        <v>189</v>
      </c>
      <c r="AD301" s="5" t="s">
        <v>67</v>
      </c>
      <c r="AE301" s="5" t="s">
        <v>185</v>
      </c>
      <c r="AF301" s="5" t="s">
        <v>185</v>
      </c>
      <c r="AG301" s="3">
        <v>46199</v>
      </c>
      <c r="AH301" s="3">
        <v>46203</v>
      </c>
    </row>
    <row r="302" spans="1:34" ht="12" customHeight="1">
      <c r="A302" s="3">
        <v>46197</v>
      </c>
      <c r="B302" s="5" t="s">
        <v>915</v>
      </c>
      <c r="C302" s="5" t="s">
        <v>649</v>
      </c>
      <c r="D302" s="5" t="s">
        <v>916</v>
      </c>
      <c r="E302" s="5" t="s">
        <v>917</v>
      </c>
      <c r="F302" s="5" t="str">
        <f t="shared" si="32"/>
        <v>Sunflower</v>
      </c>
      <c r="G302" s="5" t="s">
        <v>729</v>
      </c>
      <c r="H302" s="5" t="s">
        <v>39</v>
      </c>
      <c r="I302" s="5" t="s">
        <v>58</v>
      </c>
      <c r="J302" s="6">
        <v>2</v>
      </c>
      <c r="K302" s="6">
        <v>6488</v>
      </c>
      <c r="L302" s="6">
        <v>583.79999999999995</v>
      </c>
      <c r="M302" s="6">
        <f t="shared" si="33"/>
        <v>3787694.4</v>
      </c>
      <c r="N302" s="6">
        <v>0</v>
      </c>
      <c r="O302" s="6">
        <v>556</v>
      </c>
      <c r="P302" s="6">
        <f t="shared" si="34"/>
        <v>3607328</v>
      </c>
      <c r="Q302" s="6">
        <f t="shared" si="35"/>
        <v>180366.39999999991</v>
      </c>
      <c r="R302" s="6">
        <v>0</v>
      </c>
      <c r="S302" s="6">
        <v>0</v>
      </c>
      <c r="T302" s="6">
        <v>0</v>
      </c>
      <c r="U302" s="6">
        <v>0</v>
      </c>
      <c r="V302" s="6">
        <v>30.47</v>
      </c>
      <c r="W302" s="6">
        <f t="shared" si="36"/>
        <v>0</v>
      </c>
      <c r="X302" s="6">
        <f t="shared" si="37"/>
        <v>30.47</v>
      </c>
      <c r="Y302" s="6">
        <v>0</v>
      </c>
      <c r="Z302" s="6">
        <f t="shared" si="38"/>
        <v>180335.92999999991</v>
      </c>
      <c r="AA302" s="6" t="str">
        <f t="shared" si="39"/>
        <v xml:space="preserve"> Profit</v>
      </c>
      <c r="AB302" s="5" t="s">
        <v>918</v>
      </c>
      <c r="AC302" s="5" t="s">
        <v>82</v>
      </c>
      <c r="AD302" s="5" t="s">
        <v>88</v>
      </c>
      <c r="AE302" s="5" t="s">
        <v>770</v>
      </c>
      <c r="AF302" s="5" t="s">
        <v>771</v>
      </c>
      <c r="AG302" s="3">
        <v>46203</v>
      </c>
      <c r="AH302" s="3">
        <v>46207</v>
      </c>
    </row>
    <row r="303" spans="1:34" ht="12" customHeight="1">
      <c r="A303" s="3">
        <v>46202</v>
      </c>
      <c r="B303" s="5" t="s">
        <v>919</v>
      </c>
      <c r="C303" s="5" t="s">
        <v>920</v>
      </c>
      <c r="D303" s="5" t="s">
        <v>921</v>
      </c>
      <c r="E303" s="5" t="s">
        <v>37</v>
      </c>
      <c r="F303" s="5" t="str">
        <f t="shared" si="32"/>
        <v>Sugar</v>
      </c>
      <c r="G303" s="5" t="s">
        <v>256</v>
      </c>
      <c r="H303" s="5" t="s">
        <v>39</v>
      </c>
      <c r="I303" s="5" t="s">
        <v>40</v>
      </c>
      <c r="J303" s="6">
        <v>0</v>
      </c>
      <c r="K303" s="6">
        <v>2000</v>
      </c>
      <c r="L303" s="6">
        <v>513.84375</v>
      </c>
      <c r="M303" s="6">
        <f t="shared" si="33"/>
        <v>1027687.5</v>
      </c>
      <c r="N303" s="6">
        <v>47328</v>
      </c>
      <c r="O303" s="6">
        <v>489.375</v>
      </c>
      <c r="P303" s="6">
        <f t="shared" si="34"/>
        <v>978750</v>
      </c>
      <c r="Q303" s="6">
        <f t="shared" si="35"/>
        <v>48937.5</v>
      </c>
      <c r="R303" s="6">
        <v>116000</v>
      </c>
      <c r="S303" s="6">
        <v>250</v>
      </c>
      <c r="T303" s="6">
        <v>557.375</v>
      </c>
      <c r="U303" s="6">
        <v>371.2</v>
      </c>
      <c r="V303" s="6">
        <v>17.14</v>
      </c>
      <c r="W303" s="6">
        <f t="shared" si="36"/>
        <v>47328</v>
      </c>
      <c r="X303" s="6">
        <f t="shared" si="37"/>
        <v>117195.715</v>
      </c>
      <c r="Y303" s="6">
        <v>0</v>
      </c>
      <c r="Z303" s="6">
        <f t="shared" si="38"/>
        <v>-20930.214999999997</v>
      </c>
      <c r="AA303" s="6" t="str">
        <f t="shared" si="39"/>
        <v xml:space="preserve"> Loss</v>
      </c>
      <c r="AB303" s="5" t="s">
        <v>922</v>
      </c>
      <c r="AC303" s="5" t="s">
        <v>82</v>
      </c>
      <c r="AD303" s="5" t="s">
        <v>88</v>
      </c>
      <c r="AE303" s="5" t="s">
        <v>770</v>
      </c>
      <c r="AF303" s="5" t="s">
        <v>771</v>
      </c>
      <c r="AG303" s="3">
        <v>46208</v>
      </c>
      <c r="AH303" s="3">
        <v>46212</v>
      </c>
    </row>
    <row r="304" spans="1:34" ht="12" customHeight="1">
      <c r="A304" s="3">
        <v>46203</v>
      </c>
      <c r="B304" s="5" t="s">
        <v>923</v>
      </c>
      <c r="C304" s="5" t="s">
        <v>850</v>
      </c>
      <c r="D304" s="5" t="s">
        <v>924</v>
      </c>
      <c r="E304" s="5" t="s">
        <v>63</v>
      </c>
      <c r="F304" s="5" t="str">
        <f t="shared" si="32"/>
        <v>Rice</v>
      </c>
      <c r="G304" s="5" t="s">
        <v>342</v>
      </c>
      <c r="H304" s="5" t="s">
        <v>101</v>
      </c>
      <c r="I304" s="5" t="s">
        <v>58</v>
      </c>
      <c r="J304" s="6">
        <v>0</v>
      </c>
      <c r="K304" s="6">
        <v>250</v>
      </c>
      <c r="L304" s="6">
        <v>1039.5</v>
      </c>
      <c r="M304" s="6">
        <f t="shared" si="33"/>
        <v>259875</v>
      </c>
      <c r="N304" s="6">
        <v>0</v>
      </c>
      <c r="O304" s="6">
        <v>990</v>
      </c>
      <c r="P304" s="6">
        <f t="shared" si="34"/>
        <v>247500</v>
      </c>
      <c r="Q304" s="6">
        <f t="shared" si="35"/>
        <v>12375</v>
      </c>
      <c r="R304" s="6">
        <v>0</v>
      </c>
      <c r="S304" s="6">
        <v>0</v>
      </c>
      <c r="T304" s="6">
        <v>0</v>
      </c>
      <c r="U304" s="6">
        <v>0</v>
      </c>
      <c r="V304" s="6">
        <v>12000</v>
      </c>
      <c r="W304" s="6">
        <f t="shared" si="36"/>
        <v>0</v>
      </c>
      <c r="X304" s="6">
        <f t="shared" si="37"/>
        <v>12000</v>
      </c>
      <c r="Y304" s="6">
        <v>0</v>
      </c>
      <c r="Z304" s="6">
        <f t="shared" si="38"/>
        <v>375</v>
      </c>
      <c r="AA304" s="6" t="str">
        <f t="shared" si="39"/>
        <v xml:space="preserve"> Profit</v>
      </c>
      <c r="AB304" s="5" t="s">
        <v>925</v>
      </c>
      <c r="AC304" s="5" t="s">
        <v>168</v>
      </c>
      <c r="AD304" s="5" t="s">
        <v>43</v>
      </c>
      <c r="AE304" s="5" t="s">
        <v>238</v>
      </c>
      <c r="AF304" s="5" t="s">
        <v>45</v>
      </c>
      <c r="AG304" s="3">
        <v>46209</v>
      </c>
      <c r="AH304" s="3">
        <v>46213</v>
      </c>
    </row>
    <row r="305" spans="1:34" ht="12" customHeight="1">
      <c r="A305" s="3">
        <v>46245</v>
      </c>
      <c r="B305" s="5" t="s">
        <v>926</v>
      </c>
      <c r="C305" s="5" t="s">
        <v>850</v>
      </c>
      <c r="D305" s="5" t="s">
        <v>927</v>
      </c>
      <c r="E305" s="5" t="s">
        <v>63</v>
      </c>
      <c r="F305" s="5" t="str">
        <f t="shared" si="32"/>
        <v>Rice</v>
      </c>
      <c r="G305" s="5" t="s">
        <v>342</v>
      </c>
      <c r="H305" s="5" t="s">
        <v>101</v>
      </c>
      <c r="I305" s="5" t="s">
        <v>58</v>
      </c>
      <c r="J305" s="6">
        <v>0</v>
      </c>
      <c r="K305" s="6">
        <v>175</v>
      </c>
      <c r="L305" s="6">
        <v>1039.5</v>
      </c>
      <c r="M305" s="6">
        <f t="shared" si="33"/>
        <v>181912.5</v>
      </c>
      <c r="N305" s="6">
        <v>0</v>
      </c>
      <c r="O305" s="6">
        <v>990</v>
      </c>
      <c r="P305" s="6">
        <f t="shared" si="34"/>
        <v>173250</v>
      </c>
      <c r="Q305" s="6">
        <f t="shared" si="35"/>
        <v>8662.5</v>
      </c>
      <c r="R305" s="6">
        <v>0</v>
      </c>
      <c r="S305" s="6">
        <v>0</v>
      </c>
      <c r="T305" s="6">
        <v>0</v>
      </c>
      <c r="U305" s="6">
        <v>0</v>
      </c>
      <c r="V305" s="6">
        <v>13500</v>
      </c>
      <c r="W305" s="6">
        <f t="shared" si="36"/>
        <v>0</v>
      </c>
      <c r="X305" s="6">
        <f t="shared" si="37"/>
        <v>13500</v>
      </c>
      <c r="Y305" s="6">
        <v>0</v>
      </c>
      <c r="Z305" s="6">
        <f t="shared" si="38"/>
        <v>-4837.5</v>
      </c>
      <c r="AA305" s="6" t="str">
        <f t="shared" si="39"/>
        <v xml:space="preserve"> Loss</v>
      </c>
      <c r="AB305" s="5" t="s">
        <v>928</v>
      </c>
      <c r="AC305" s="5" t="s">
        <v>211</v>
      </c>
      <c r="AD305" s="5" t="s">
        <v>212</v>
      </c>
      <c r="AE305" s="5" t="s">
        <v>770</v>
      </c>
      <c r="AF305" s="5" t="s">
        <v>771</v>
      </c>
      <c r="AG305" s="3">
        <v>46251</v>
      </c>
      <c r="AH305" s="3">
        <v>46255</v>
      </c>
    </row>
    <row r="306" spans="1:34" ht="12" customHeight="1">
      <c r="A306" s="3">
        <v>46248</v>
      </c>
      <c r="B306" s="5" t="s">
        <v>929</v>
      </c>
      <c r="C306" s="5" t="s">
        <v>871</v>
      </c>
      <c r="D306" s="5" t="s">
        <v>872</v>
      </c>
      <c r="E306" s="5" t="s">
        <v>341</v>
      </c>
      <c r="F306" s="5" t="str">
        <f t="shared" si="32"/>
        <v>Lentils</v>
      </c>
      <c r="G306" s="5" t="s">
        <v>38</v>
      </c>
      <c r="H306" s="5" t="s">
        <v>64</v>
      </c>
      <c r="I306" s="5" t="s">
        <v>40</v>
      </c>
      <c r="J306" s="6">
        <v>2</v>
      </c>
      <c r="K306" s="6">
        <v>50</v>
      </c>
      <c r="L306" s="6">
        <v>735</v>
      </c>
      <c r="M306" s="6">
        <f t="shared" si="33"/>
        <v>36750</v>
      </c>
      <c r="N306" s="6">
        <v>1739.17344</v>
      </c>
      <c r="O306" s="6">
        <v>700</v>
      </c>
      <c r="P306" s="6">
        <f t="shared" si="34"/>
        <v>35000</v>
      </c>
      <c r="Q306" s="6">
        <f t="shared" si="35"/>
        <v>1750</v>
      </c>
      <c r="R306" s="6">
        <v>4262.68</v>
      </c>
      <c r="S306" s="6">
        <v>130</v>
      </c>
      <c r="T306" s="6">
        <v>850</v>
      </c>
      <c r="U306" s="6">
        <v>13.640599999999999</v>
      </c>
      <c r="V306" s="6">
        <v>0</v>
      </c>
      <c r="W306" s="6">
        <f t="shared" si="36"/>
        <v>1739.17344</v>
      </c>
      <c r="X306" s="6">
        <f t="shared" si="37"/>
        <v>5256.3206</v>
      </c>
      <c r="Y306" s="6">
        <v>0</v>
      </c>
      <c r="Z306" s="6">
        <f t="shared" si="38"/>
        <v>-1767.14716</v>
      </c>
      <c r="AA306" s="6" t="str">
        <f t="shared" si="39"/>
        <v xml:space="preserve"> Loss</v>
      </c>
      <c r="AB306" s="5" t="s">
        <v>930</v>
      </c>
      <c r="AC306" s="5" t="s">
        <v>168</v>
      </c>
      <c r="AD306" s="5" t="s">
        <v>43</v>
      </c>
      <c r="AE306" s="5" t="s">
        <v>238</v>
      </c>
      <c r="AF306" s="5" t="s">
        <v>45</v>
      </c>
      <c r="AG306" s="3">
        <v>46254</v>
      </c>
      <c r="AH306" s="3">
        <v>46258</v>
      </c>
    </row>
    <row r="307" spans="1:34" ht="12" customHeight="1">
      <c r="A307" s="3">
        <v>46251</v>
      </c>
      <c r="B307" s="5" t="s">
        <v>931</v>
      </c>
      <c r="C307" s="5" t="s">
        <v>895</v>
      </c>
      <c r="D307" s="5" t="s">
        <v>896</v>
      </c>
      <c r="E307" s="5" t="s">
        <v>892</v>
      </c>
      <c r="F307" s="5" t="str">
        <f t="shared" si="32"/>
        <v>Lentils</v>
      </c>
      <c r="G307" s="5" t="s">
        <v>272</v>
      </c>
      <c r="H307" s="5" t="s">
        <v>64</v>
      </c>
      <c r="I307" s="5" t="s">
        <v>40</v>
      </c>
      <c r="J307" s="6">
        <v>5</v>
      </c>
      <c r="K307" s="6">
        <v>130</v>
      </c>
      <c r="L307" s="6">
        <v>682.5</v>
      </c>
      <c r="M307" s="6">
        <f t="shared" si="33"/>
        <v>88725</v>
      </c>
      <c r="N307" s="6">
        <v>1784.4544020000001</v>
      </c>
      <c r="O307" s="6">
        <v>650</v>
      </c>
      <c r="P307" s="6">
        <f t="shared" si="34"/>
        <v>84500</v>
      </c>
      <c r="Q307" s="6">
        <f t="shared" si="35"/>
        <v>4225</v>
      </c>
      <c r="R307" s="6">
        <v>4373.6626999999999</v>
      </c>
      <c r="S307" s="6">
        <v>25</v>
      </c>
      <c r="T307" s="6">
        <v>700</v>
      </c>
      <c r="U307" s="6">
        <v>13.995699999999999</v>
      </c>
      <c r="V307" s="6">
        <v>0</v>
      </c>
      <c r="W307" s="6">
        <f t="shared" si="36"/>
        <v>1784.4544020000001</v>
      </c>
      <c r="X307" s="6">
        <f t="shared" si="37"/>
        <v>5112.6584000000003</v>
      </c>
      <c r="Y307" s="6">
        <v>0</v>
      </c>
      <c r="Z307" s="6">
        <f t="shared" si="38"/>
        <v>896.79600199999982</v>
      </c>
      <c r="AA307" s="6" t="str">
        <f t="shared" si="39"/>
        <v xml:space="preserve"> Profit</v>
      </c>
      <c r="AB307" s="5" t="s">
        <v>932</v>
      </c>
      <c r="AC307" s="5" t="s">
        <v>211</v>
      </c>
      <c r="AD307" s="5" t="s">
        <v>212</v>
      </c>
      <c r="AE307" s="5" t="s">
        <v>770</v>
      </c>
      <c r="AF307" s="5" t="s">
        <v>771</v>
      </c>
      <c r="AG307" s="3">
        <v>46257</v>
      </c>
      <c r="AH307" s="3">
        <v>46261</v>
      </c>
    </row>
    <row r="308" spans="1:34" ht="12" customHeight="1">
      <c r="A308" s="3">
        <v>46254</v>
      </c>
      <c r="B308" s="5" t="s">
        <v>933</v>
      </c>
      <c r="C308" s="5" t="s">
        <v>934</v>
      </c>
      <c r="D308" s="5" t="s">
        <v>880</v>
      </c>
      <c r="E308" s="5" t="s">
        <v>341</v>
      </c>
      <c r="F308" s="5" t="str">
        <f t="shared" si="32"/>
        <v>Lentils</v>
      </c>
      <c r="G308" s="5" t="s">
        <v>852</v>
      </c>
      <c r="H308" s="5" t="s">
        <v>64</v>
      </c>
      <c r="I308" s="5" t="s">
        <v>40</v>
      </c>
      <c r="J308" s="6">
        <v>1</v>
      </c>
      <c r="K308" s="6">
        <v>25</v>
      </c>
      <c r="L308" s="6">
        <v>761.25</v>
      </c>
      <c r="M308" s="6">
        <f t="shared" si="33"/>
        <v>19031.25</v>
      </c>
      <c r="N308" s="6">
        <v>656.88</v>
      </c>
      <c r="O308" s="6">
        <v>725</v>
      </c>
      <c r="P308" s="6">
        <f t="shared" si="34"/>
        <v>18125</v>
      </c>
      <c r="Q308" s="6">
        <f t="shared" si="35"/>
        <v>906.25</v>
      </c>
      <c r="R308" s="6">
        <v>1610</v>
      </c>
      <c r="S308" s="6">
        <v>1000.02</v>
      </c>
      <c r="T308" s="6">
        <v>891</v>
      </c>
      <c r="U308" s="6">
        <v>5.1520000000000001</v>
      </c>
      <c r="V308" s="6">
        <v>98.99</v>
      </c>
      <c r="W308" s="6">
        <f t="shared" si="36"/>
        <v>656.88</v>
      </c>
      <c r="X308" s="6">
        <f t="shared" si="37"/>
        <v>3605.1619999999998</v>
      </c>
      <c r="Y308" s="6">
        <v>0</v>
      </c>
      <c r="Z308" s="6">
        <f t="shared" si="38"/>
        <v>-2042.0319999999997</v>
      </c>
      <c r="AA308" s="6" t="str">
        <f t="shared" si="39"/>
        <v xml:space="preserve"> Loss</v>
      </c>
      <c r="AB308" s="5" t="s">
        <v>935</v>
      </c>
      <c r="AC308" s="5" t="s">
        <v>82</v>
      </c>
      <c r="AD308" s="5" t="s">
        <v>88</v>
      </c>
      <c r="AE308" s="5" t="s">
        <v>770</v>
      </c>
      <c r="AF308" s="5" t="s">
        <v>771</v>
      </c>
      <c r="AG308" s="3">
        <v>46260</v>
      </c>
      <c r="AH308" s="3">
        <v>46264</v>
      </c>
    </row>
    <row r="309" spans="1:34" ht="12" customHeight="1">
      <c r="A309" s="3">
        <v>46260</v>
      </c>
      <c r="B309" s="5" t="s">
        <v>936</v>
      </c>
      <c r="C309" s="5" t="s">
        <v>937</v>
      </c>
      <c r="D309" s="5" t="s">
        <v>938</v>
      </c>
      <c r="E309" s="5" t="s">
        <v>341</v>
      </c>
      <c r="F309" s="5" t="str">
        <f t="shared" si="32"/>
        <v>Lentils</v>
      </c>
      <c r="G309" s="5" t="s">
        <v>256</v>
      </c>
      <c r="H309" s="5" t="s">
        <v>64</v>
      </c>
      <c r="I309" s="5" t="s">
        <v>58</v>
      </c>
      <c r="J309" s="6">
        <v>0</v>
      </c>
      <c r="K309" s="6">
        <v>1000</v>
      </c>
      <c r="L309" s="6">
        <v>744.45</v>
      </c>
      <c r="M309" s="6">
        <f t="shared" si="33"/>
        <v>744450</v>
      </c>
      <c r="N309" s="6">
        <v>0</v>
      </c>
      <c r="O309" s="6">
        <v>709</v>
      </c>
      <c r="P309" s="6">
        <f t="shared" si="34"/>
        <v>709000</v>
      </c>
      <c r="Q309" s="6">
        <f t="shared" si="35"/>
        <v>35450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f t="shared" si="36"/>
        <v>0</v>
      </c>
      <c r="X309" s="6">
        <f t="shared" si="37"/>
        <v>0</v>
      </c>
      <c r="Y309" s="6">
        <v>0</v>
      </c>
      <c r="Z309" s="6">
        <f t="shared" si="38"/>
        <v>35450</v>
      </c>
      <c r="AA309" s="6" t="str">
        <f t="shared" si="39"/>
        <v xml:space="preserve"> Profit</v>
      </c>
      <c r="AB309" s="5" t="s">
        <v>939</v>
      </c>
      <c r="AC309" s="5" t="s">
        <v>82</v>
      </c>
      <c r="AD309" s="5" t="s">
        <v>43</v>
      </c>
      <c r="AE309" s="5" t="s">
        <v>238</v>
      </c>
      <c r="AF309" s="5" t="s">
        <v>45</v>
      </c>
      <c r="AG309" s="3">
        <v>46266</v>
      </c>
      <c r="AH309" s="3">
        <v>46270</v>
      </c>
    </row>
    <row r="310" spans="1:34" ht="12" customHeight="1">
      <c r="A310" s="3">
        <v>46261</v>
      </c>
      <c r="B310" s="5" t="s">
        <v>940</v>
      </c>
      <c r="C310" s="5" t="s">
        <v>941</v>
      </c>
      <c r="D310" s="5" t="s">
        <v>942</v>
      </c>
      <c r="E310" s="5" t="s">
        <v>341</v>
      </c>
      <c r="F310" s="5" t="str">
        <f t="shared" si="32"/>
        <v>Lentils</v>
      </c>
      <c r="G310" s="5" t="s">
        <v>256</v>
      </c>
      <c r="H310" s="5" t="s">
        <v>64</v>
      </c>
      <c r="I310" s="5" t="s">
        <v>58</v>
      </c>
      <c r="J310" s="6">
        <v>0</v>
      </c>
      <c r="K310" s="6">
        <v>500</v>
      </c>
      <c r="L310" s="6">
        <v>807.45</v>
      </c>
      <c r="M310" s="6">
        <f t="shared" si="33"/>
        <v>403725</v>
      </c>
      <c r="N310" s="6">
        <v>0</v>
      </c>
      <c r="O310" s="6">
        <v>769</v>
      </c>
      <c r="P310" s="6">
        <f t="shared" si="34"/>
        <v>384500</v>
      </c>
      <c r="Q310" s="6">
        <f t="shared" si="35"/>
        <v>19225</v>
      </c>
      <c r="R310" s="6">
        <v>0</v>
      </c>
      <c r="S310" s="6">
        <v>0</v>
      </c>
      <c r="T310" s="6">
        <v>0</v>
      </c>
      <c r="U310" s="6">
        <v>0</v>
      </c>
      <c r="V310" s="6">
        <v>123.08</v>
      </c>
      <c r="W310" s="6">
        <f t="shared" si="36"/>
        <v>0</v>
      </c>
      <c r="X310" s="6">
        <f t="shared" si="37"/>
        <v>123.08</v>
      </c>
      <c r="Y310" s="6">
        <v>0</v>
      </c>
      <c r="Z310" s="6">
        <f t="shared" si="38"/>
        <v>19101.919999999998</v>
      </c>
      <c r="AA310" s="6" t="str">
        <f t="shared" si="39"/>
        <v xml:space="preserve"> Profit</v>
      </c>
      <c r="AB310" s="5" t="s">
        <v>943</v>
      </c>
      <c r="AC310" s="5" t="s">
        <v>66</v>
      </c>
      <c r="AD310" s="5" t="s">
        <v>43</v>
      </c>
      <c r="AE310" s="5" t="s">
        <v>238</v>
      </c>
      <c r="AF310" s="5" t="s">
        <v>45</v>
      </c>
      <c r="AG310" s="3">
        <v>46267</v>
      </c>
      <c r="AH310" s="3">
        <v>46271</v>
      </c>
    </row>
    <row r="311" spans="1:34" ht="12" customHeight="1">
      <c r="A311" s="3">
        <v>46264</v>
      </c>
      <c r="B311" s="5" t="s">
        <v>944</v>
      </c>
      <c r="C311" s="5" t="s">
        <v>945</v>
      </c>
      <c r="D311" s="5" t="s">
        <v>946</v>
      </c>
      <c r="E311" s="5" t="s">
        <v>341</v>
      </c>
      <c r="F311" s="5" t="str">
        <f t="shared" si="32"/>
        <v>Lentils</v>
      </c>
      <c r="G311" s="5" t="s">
        <v>49</v>
      </c>
      <c r="H311" s="5" t="s">
        <v>64</v>
      </c>
      <c r="I311" s="5" t="s">
        <v>58</v>
      </c>
      <c r="J311" s="6">
        <v>0</v>
      </c>
      <c r="K311" s="6">
        <v>24</v>
      </c>
      <c r="L311" s="6">
        <v>769.65</v>
      </c>
      <c r="M311" s="6">
        <f t="shared" si="33"/>
        <v>18471.599999999999</v>
      </c>
      <c r="N311" s="6">
        <v>0</v>
      </c>
      <c r="O311" s="6">
        <v>733</v>
      </c>
      <c r="P311" s="6">
        <f t="shared" si="34"/>
        <v>17592</v>
      </c>
      <c r="Q311" s="6">
        <f t="shared" si="35"/>
        <v>879.59999999999854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f t="shared" si="36"/>
        <v>0</v>
      </c>
      <c r="X311" s="6">
        <v>0</v>
      </c>
      <c r="Y311" s="6">
        <v>0</v>
      </c>
      <c r="Z311" s="6">
        <f t="shared" si="38"/>
        <v>879.59999999999854</v>
      </c>
      <c r="AA311" s="6" t="str">
        <f t="shared" si="39"/>
        <v xml:space="preserve"> Profit</v>
      </c>
      <c r="AB311" s="5" t="s">
        <v>947</v>
      </c>
      <c r="AC311" s="5" t="s">
        <v>66</v>
      </c>
      <c r="AD311" s="5" t="s">
        <v>43</v>
      </c>
      <c r="AE311" s="5" t="s">
        <v>238</v>
      </c>
      <c r="AF311" s="5" t="s">
        <v>45</v>
      </c>
      <c r="AG311" s="3">
        <v>46270</v>
      </c>
      <c r="AH311" s="3">
        <v>46274</v>
      </c>
    </row>
  </sheetData>
  <conditionalFormatting sqref="B2:B311">
    <cfRule type="duplicateValues" dxfId="4" priority="3"/>
  </conditionalFormatting>
  <conditionalFormatting sqref="B247:B311">
    <cfRule type="duplicateValues" dxfId="3" priority="4"/>
  </conditionalFormatting>
  <conditionalFormatting sqref="B123:B246">
    <cfRule type="duplicateValues" dxfId="2" priority="5"/>
  </conditionalFormatting>
  <conditionalFormatting sqref="B2:B122">
    <cfRule type="duplicateValues" dxfId="1" priority="6"/>
  </conditionalFormatting>
  <conditionalFormatting sqref="AB1:AB311">
    <cfRule type="duplicateValues" dxfId="0" priority="1"/>
  </conditionalFormatting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Age</dc:creator>
  <dc:description/>
  <cp:lastModifiedBy>PC</cp:lastModifiedBy>
  <cp:revision>0</cp:revision>
  <cp:lastPrinted>2024-03-28T08:26:09Z</cp:lastPrinted>
  <dcterms:created xsi:type="dcterms:W3CDTF">2015-08-13T13:14:36Z</dcterms:created>
  <dcterms:modified xsi:type="dcterms:W3CDTF">2026-09-13T05:51:26Z</dcterms:modified>
  <dc:language>en-US</dc:language>
</cp:coreProperties>
</file>